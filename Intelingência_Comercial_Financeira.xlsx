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Vendas" sheetId="1" r:id="rId5"/>
    <sheet state="visible" name="Dashboard_Comercial" sheetId="2" r:id="rId6"/>
  </sheets>
  <definedNames/>
  <calcPr/>
</workbook>
</file>

<file path=xl/sharedStrings.xml><?xml version="1.0" encoding="utf-8"?>
<sst xmlns="http://schemas.openxmlformats.org/spreadsheetml/2006/main" count="294" uniqueCount="203">
  <si>
    <t>ID Pedido</t>
  </si>
  <si>
    <t>Data</t>
  </si>
  <si>
    <t>Categoria</t>
  </si>
  <si>
    <t>Faturamento Bruto</t>
  </si>
  <si>
    <t>Custo Produto (CMV)</t>
  </si>
  <si>
    <t>Custo Marketing (CAC)</t>
  </si>
  <si>
    <t>Lucro Líquido</t>
  </si>
  <si>
    <t>Margem de Lucro</t>
  </si>
  <si>
    <t>ROI Mkt</t>
  </si>
  <si>
    <t>PED-1000</t>
  </si>
  <si>
    <t>2026-01-01</t>
  </si>
  <si>
    <t>Vestuário</t>
  </si>
  <si>
    <t>PED-1001</t>
  </si>
  <si>
    <t>2026-01-02</t>
  </si>
  <si>
    <t>Beleza</t>
  </si>
  <si>
    <t>PED-1002</t>
  </si>
  <si>
    <t>2026-01-03</t>
  </si>
  <si>
    <t>Casa &amp; Decoração</t>
  </si>
  <si>
    <t>PED-1003</t>
  </si>
  <si>
    <t>2026-01-04</t>
  </si>
  <si>
    <t>PED-1004</t>
  </si>
  <si>
    <t>2026-01-05</t>
  </si>
  <si>
    <t>Eletrônicos</t>
  </si>
  <si>
    <t>PED-1005</t>
  </si>
  <si>
    <t>2026-01-06</t>
  </si>
  <si>
    <t>PED-1006</t>
  </si>
  <si>
    <t>2026-01-07</t>
  </si>
  <si>
    <t>PED-1007</t>
  </si>
  <si>
    <t>2026-01-08</t>
  </si>
  <si>
    <t>PED-1008</t>
  </si>
  <si>
    <t>2026-01-09</t>
  </si>
  <si>
    <t>PED-1009</t>
  </si>
  <si>
    <t>2026-01-10</t>
  </si>
  <si>
    <t>PED-1010</t>
  </si>
  <si>
    <t>2026-01-11</t>
  </si>
  <si>
    <t>PED-1011</t>
  </si>
  <si>
    <t>2026-01-12</t>
  </si>
  <si>
    <t>PED-1012</t>
  </si>
  <si>
    <t>2026-01-13</t>
  </si>
  <si>
    <t>PED-1013</t>
  </si>
  <si>
    <t>2026-01-14</t>
  </si>
  <si>
    <t>PED-1014</t>
  </si>
  <si>
    <t>2026-01-15</t>
  </si>
  <si>
    <t>PED-1015</t>
  </si>
  <si>
    <t>2026-01-16</t>
  </si>
  <si>
    <t>PED-1016</t>
  </si>
  <si>
    <t>2026-01-17</t>
  </si>
  <si>
    <t>PED-1017</t>
  </si>
  <si>
    <t>2026-01-18</t>
  </si>
  <si>
    <t>PED-1018</t>
  </si>
  <si>
    <t>2026-01-19</t>
  </si>
  <si>
    <t>PED-1019</t>
  </si>
  <si>
    <t>2026-01-20</t>
  </si>
  <si>
    <t>PED-1020</t>
  </si>
  <si>
    <t>2026-01-21</t>
  </si>
  <si>
    <t>PED-1021</t>
  </si>
  <si>
    <t>2026-01-22</t>
  </si>
  <si>
    <t>PED-1022</t>
  </si>
  <si>
    <t>2026-01-23</t>
  </si>
  <si>
    <t>PED-1023</t>
  </si>
  <si>
    <t>2026-01-24</t>
  </si>
  <si>
    <t>PED-1024</t>
  </si>
  <si>
    <t>2026-01-25</t>
  </si>
  <si>
    <t>PED-1025</t>
  </si>
  <si>
    <t>2026-01-26</t>
  </si>
  <si>
    <t>PED-1026</t>
  </si>
  <si>
    <t>2026-01-27</t>
  </si>
  <si>
    <t>PED-1027</t>
  </si>
  <si>
    <t>2026-01-28</t>
  </si>
  <si>
    <t>PED-1028</t>
  </si>
  <si>
    <t>2026-01-29</t>
  </si>
  <si>
    <t>PED-1029</t>
  </si>
  <si>
    <t>2026-01-30</t>
  </si>
  <si>
    <t>PED-1030</t>
  </si>
  <si>
    <t>2026-01-31</t>
  </si>
  <si>
    <t>PED-1031</t>
  </si>
  <si>
    <t>2026-02-01</t>
  </si>
  <si>
    <t>PED-1032</t>
  </si>
  <si>
    <t>2026-02-02</t>
  </si>
  <si>
    <t>PED-1033</t>
  </si>
  <si>
    <t>2026-02-03</t>
  </si>
  <si>
    <t>PED-1034</t>
  </si>
  <si>
    <t>2026-02-04</t>
  </si>
  <si>
    <t>PED-1035</t>
  </si>
  <si>
    <t>2026-02-05</t>
  </si>
  <si>
    <t>PED-1036</t>
  </si>
  <si>
    <t>2026-02-06</t>
  </si>
  <si>
    <t>PED-1037</t>
  </si>
  <si>
    <t>2026-02-07</t>
  </si>
  <si>
    <t>PED-1038</t>
  </si>
  <si>
    <t>2026-02-08</t>
  </si>
  <si>
    <t>PED-1039</t>
  </si>
  <si>
    <t>2026-02-09</t>
  </si>
  <si>
    <t>PED-1040</t>
  </si>
  <si>
    <t>2026-02-10</t>
  </si>
  <si>
    <t>PED-1041</t>
  </si>
  <si>
    <t>2026-02-11</t>
  </si>
  <si>
    <t>PED-1042</t>
  </si>
  <si>
    <t>2026-02-12</t>
  </si>
  <si>
    <t>PED-1043</t>
  </si>
  <si>
    <t>2026-02-13</t>
  </si>
  <si>
    <t>PED-1044</t>
  </si>
  <si>
    <t>2026-02-14</t>
  </si>
  <si>
    <t>PED-1045</t>
  </si>
  <si>
    <t>2026-02-15</t>
  </si>
  <si>
    <t>PED-1046</t>
  </si>
  <si>
    <t>2026-02-16</t>
  </si>
  <si>
    <t>PED-1047</t>
  </si>
  <si>
    <t>2026-02-17</t>
  </si>
  <si>
    <t>PED-1048</t>
  </si>
  <si>
    <t>2026-02-18</t>
  </si>
  <si>
    <t>PED-1049</t>
  </si>
  <si>
    <t>2026-02-19</t>
  </si>
  <si>
    <t>PED-1050</t>
  </si>
  <si>
    <t>2026-02-20</t>
  </si>
  <si>
    <t>PED-1051</t>
  </si>
  <si>
    <t>2026-02-21</t>
  </si>
  <si>
    <t>PED-1052</t>
  </si>
  <si>
    <t>2026-02-22</t>
  </si>
  <si>
    <t>PED-1053</t>
  </si>
  <si>
    <t>2026-02-23</t>
  </si>
  <si>
    <t>PED-1054</t>
  </si>
  <si>
    <t>2026-02-24</t>
  </si>
  <si>
    <t>PED-1055</t>
  </si>
  <si>
    <t>2026-02-25</t>
  </si>
  <si>
    <t>PED-1056</t>
  </si>
  <si>
    <t>2026-02-26</t>
  </si>
  <si>
    <t>PED-1057</t>
  </si>
  <si>
    <t>2026-02-27</t>
  </si>
  <si>
    <t>PED-1058</t>
  </si>
  <si>
    <t>2026-02-28</t>
  </si>
  <si>
    <t>PED-1059</t>
  </si>
  <si>
    <t>2026-03-01</t>
  </si>
  <si>
    <t>PED-1060</t>
  </si>
  <si>
    <t>2026-03-02</t>
  </si>
  <si>
    <t>PED-1061</t>
  </si>
  <si>
    <t>2026-03-03</t>
  </si>
  <si>
    <t>PED-1062</t>
  </si>
  <si>
    <t>2026-03-04</t>
  </si>
  <si>
    <t>PED-1063</t>
  </si>
  <si>
    <t>2026-03-05</t>
  </si>
  <si>
    <t>PED-1064</t>
  </si>
  <si>
    <t>2026-03-06</t>
  </si>
  <si>
    <t>PED-1065</t>
  </si>
  <si>
    <t>2026-03-07</t>
  </si>
  <si>
    <t>PED-1066</t>
  </si>
  <si>
    <t>2026-03-08</t>
  </si>
  <si>
    <t>PED-1067</t>
  </si>
  <si>
    <t>2026-03-09</t>
  </si>
  <si>
    <t>PED-1068</t>
  </si>
  <si>
    <t>2026-03-10</t>
  </si>
  <si>
    <t>PED-1069</t>
  </si>
  <si>
    <t>2026-03-11</t>
  </si>
  <si>
    <t>PED-1070</t>
  </si>
  <si>
    <t>2026-03-12</t>
  </si>
  <si>
    <t>PED-1071</t>
  </si>
  <si>
    <t>2026-03-13</t>
  </si>
  <si>
    <t>PED-1072</t>
  </si>
  <si>
    <t>2026-03-14</t>
  </si>
  <si>
    <t>PED-1073</t>
  </si>
  <si>
    <t>2026-03-15</t>
  </si>
  <si>
    <t>PED-1074</t>
  </si>
  <si>
    <t>2026-03-16</t>
  </si>
  <si>
    <t>PED-1075</t>
  </si>
  <si>
    <t>2026-03-17</t>
  </si>
  <si>
    <t>PED-1076</t>
  </si>
  <si>
    <t>2026-03-18</t>
  </si>
  <si>
    <t>PED-1077</t>
  </si>
  <si>
    <t>2026-03-19</t>
  </si>
  <si>
    <t>PED-1078</t>
  </si>
  <si>
    <t>2026-03-20</t>
  </si>
  <si>
    <t>PED-1079</t>
  </si>
  <si>
    <t>2026-03-21</t>
  </si>
  <si>
    <t>PED-1080</t>
  </si>
  <si>
    <t>2026-03-22</t>
  </si>
  <si>
    <t>PED-1081</t>
  </si>
  <si>
    <t>2026-03-23</t>
  </si>
  <si>
    <t>PED-1082</t>
  </si>
  <si>
    <t>2026-03-24</t>
  </si>
  <si>
    <t>PED-1083</t>
  </si>
  <si>
    <t>2026-03-25</t>
  </si>
  <si>
    <t>PED-1084</t>
  </si>
  <si>
    <t>2026-03-26</t>
  </si>
  <si>
    <t>PED-1085</t>
  </si>
  <si>
    <t>2026-03-27</t>
  </si>
  <si>
    <t>PED-1086</t>
  </si>
  <si>
    <t>2026-03-28</t>
  </si>
  <si>
    <t>PED-1087</t>
  </si>
  <si>
    <t>2026-03-29</t>
  </si>
  <si>
    <t>PED-1088</t>
  </si>
  <si>
    <t>2026-03-30</t>
  </si>
  <si>
    <t>PED-1089</t>
  </si>
  <si>
    <t>2026-03-31</t>
  </si>
  <si>
    <t>E-COMMERCE BUSINESS INTELLIGENCE - VISÃO CONSOLIDADA</t>
  </si>
  <si>
    <t>Faturamento Total</t>
  </si>
  <si>
    <t>Volume de Vendas</t>
  </si>
  <si>
    <t>Ticket Médio</t>
  </si>
  <si>
    <t>Lucro Líquido Real</t>
  </si>
  <si>
    <t>Análise de Performance por Categoria</t>
  </si>
  <si>
    <t>Faturamento</t>
  </si>
  <si>
    <t>Lucro</t>
  </si>
  <si>
    <t>Margem 
Média</t>
  </si>
  <si>
    <t xml:space="preserve">ROI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</si>
</sst>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[$R$ -416]* #,##0.00_);_([$R$ -416]* \(#,##0.00\);_([$R$ -416]* &quot;-&quot;??_);_(@_)"/>
    <numFmt numFmtId="165" formatCode="R$ #,##0.00"/>
    <numFmt numFmtId="166" formatCode="0.0%"/>
    <numFmt numFmtId="167" formatCode="#,##0.0"/>
  </numFmts>
  <fonts count="9">
    <font>
      <sz val="11.0"/>
      <color theme="1"/>
      <name val="Georgia"/>
      <scheme val="minor"/>
    </font>
    <font>
      <b/>
      <sz val="11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Georgia"/>
      <scheme val="minor"/>
    </font>
    <font>
      <b/>
      <sz val="14.0"/>
      <color rgb="FFFFFFFF"/>
      <name val="Arial"/>
    </font>
    <font>
      <b/>
      <sz val="9.0"/>
      <color rgb="FFFFFFFF"/>
      <name val="Arial"/>
    </font>
    <font>
      <b/>
      <sz val="16.0"/>
      <color rgb="FF1F497D"/>
      <name val="Arial"/>
    </font>
    <font>
      <b/>
      <sz val="12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81A1B"/>
        <bgColor rgb="FF181A1B"/>
      </patternFill>
    </fill>
    <fill>
      <patternFill patternType="solid">
        <fgColor rgb="FF000000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666666"/>
        <bgColor rgb="FF666666"/>
      </patternFill>
    </fill>
  </fills>
  <borders count="6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0C4DE"/>
      </left>
      <right style="thin">
        <color rgb="FFB0C4DE"/>
      </right>
      <top style="thin">
        <color rgb="FFB0C4DE"/>
      </top>
    </border>
    <border>
      <left style="thin">
        <color rgb="FFB0C4DE"/>
      </left>
      <right style="thin">
        <color rgb="FFB0C4DE"/>
      </right>
      <bottom style="thin">
        <color rgb="FFB0C4DE"/>
      </bottom>
    </border>
    <border>
      <left/>
      <right/>
      <top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left"/>
    </xf>
    <xf borderId="2" fillId="0" fontId="2" numFmtId="164" xfId="0" applyAlignment="1" applyBorder="1" applyFont="1" applyNumberFormat="1">
      <alignment horizontal="right"/>
    </xf>
    <xf borderId="2" fillId="0" fontId="2" numFmtId="165" xfId="0" applyAlignment="1" applyBorder="1" applyFont="1" applyNumberFormat="1">
      <alignment horizontal="right"/>
    </xf>
    <xf borderId="2" fillId="0" fontId="2" numFmtId="166" xfId="0" applyAlignment="1" applyBorder="1" applyFont="1" applyNumberFormat="1">
      <alignment horizontal="right"/>
    </xf>
    <xf borderId="2" fillId="0" fontId="2" numFmtId="167" xfId="0" applyAlignment="1" applyBorder="1" applyFont="1" applyNumberFormat="1">
      <alignment horizontal="right"/>
    </xf>
    <xf borderId="2" fillId="0" fontId="3" numFmtId="164" xfId="0" applyAlignment="1" applyBorder="1" applyFont="1" applyNumberFormat="1">
      <alignment horizontal="right" readingOrder="0"/>
    </xf>
    <xf borderId="0" fillId="3" fontId="4" numFmtId="0" xfId="0" applyFill="1" applyFont="1"/>
    <xf borderId="0" fillId="4" fontId="5" numFmtId="0" xfId="0" applyFill="1" applyFont="1"/>
    <xf borderId="3" fillId="5" fontId="6" numFmtId="0" xfId="0" applyAlignment="1" applyBorder="1" applyFill="1" applyFont="1">
      <alignment horizontal="center" vertical="center"/>
    </xf>
    <xf borderId="4" fillId="2" fontId="7" numFmtId="165" xfId="0" applyAlignment="1" applyBorder="1" applyFont="1" applyNumberFormat="1">
      <alignment horizontal="center" vertical="center"/>
    </xf>
    <xf borderId="4" fillId="2" fontId="7" numFmtId="3" xfId="0" applyAlignment="1" applyBorder="1" applyFont="1" applyNumberFormat="1">
      <alignment horizontal="center" vertical="center"/>
    </xf>
    <xf borderId="0" fillId="6" fontId="8" numFmtId="0" xfId="0" applyFill="1" applyFont="1"/>
    <xf borderId="5" fillId="5" fontId="8" numFmtId="0" xfId="0" applyAlignment="1" applyBorder="1" applyFont="1">
      <alignment horizontal="center" vertical="center"/>
    </xf>
    <xf borderId="5" fillId="5" fontId="8" numFmtId="0" xfId="0" applyAlignment="1" applyBorder="1" applyFont="1">
      <alignment horizontal="center" readingOrder="0" vertical="center"/>
    </xf>
    <xf borderId="0" fillId="2" fontId="2" numFmtId="0" xfId="0" applyFont="1"/>
    <xf borderId="0" fillId="2" fontId="2" numFmtId="165" xfId="0" applyAlignment="1" applyFont="1" applyNumberFormat="1">
      <alignment horizontal="right"/>
    </xf>
    <xf borderId="0" fillId="2" fontId="2" numFmtId="166" xfId="0" applyAlignment="1" applyFont="1" applyNumberFormat="1">
      <alignment horizontal="right"/>
    </xf>
    <xf borderId="0" fillId="2" fontId="2" numFmtId="167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Faturamento Bruto por Categoria de Produto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Dashboard_Comercial!$C$8</c:f>
            </c:strRef>
          </c:tx>
          <c:spPr>
            <a:solidFill>
              <a:srgbClr val="1F497D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Dashboard_Comercial!$B$9:$B$12</c:f>
            </c:strRef>
          </c:cat>
          <c:val>
            <c:numRef>
              <c:f>Dashboard_Comercial!$C$9:$C$12</c:f>
              <c:numCache/>
            </c:numRef>
          </c:val>
        </c:ser>
        <c:axId val="607993285"/>
        <c:axId val="455127596"/>
      </c:barChart>
      <c:catAx>
        <c:axId val="607993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+mn-lt"/>
                  </a:rPr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455127596"/>
      </c:catAx>
      <c:valAx>
        <c:axId val="455127596"/>
        <c:scaling>
          <c:orientation val="minMax"/>
          <c:max val="60000.0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+mn-lt"/>
                  </a:rPr>
                  <a:t>Valor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607993285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3</xdr:row>
      <xdr:rowOff>57150</xdr:rowOff>
    </xdr:from>
    <xdr:ext cx="6305550" cy="3152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1"/>
    <col customWidth="1" min="2" max="2" width="9.8"/>
    <col customWidth="1" min="3" max="3" width="14.0"/>
    <col customWidth="1" min="4" max="4" width="14.7"/>
    <col customWidth="1" min="5" max="5" width="16.1"/>
    <col customWidth="1" min="6" max="6" width="17.5"/>
    <col customWidth="1" min="7" max="7" width="11.9"/>
    <col customWidth="1" min="8" max="8" width="13.3"/>
    <col customWidth="1" min="9" max="9" width="11.2"/>
    <col customWidth="1" min="10" max="26" width="6.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4">
        <v>203.82</v>
      </c>
      <c r="E2" s="4">
        <v>82.95</v>
      </c>
      <c r="F2" s="4">
        <v>39.96</v>
      </c>
      <c r="G2" s="5">
        <f t="shared" ref="G2:G91" si="1">D2-E2-F2</f>
        <v>80.91</v>
      </c>
      <c r="H2" s="6">
        <f t="shared" ref="H2:H91" si="2">IFERROR(G2/D2,0)</f>
        <v>0.3969679129</v>
      </c>
      <c r="I2" s="7">
        <f t="shared" ref="I2:I91" si="3">IFERROR(G2/F2,0)</f>
        <v>2.024774775</v>
      </c>
    </row>
    <row r="3">
      <c r="A3" s="2" t="s">
        <v>12</v>
      </c>
      <c r="B3" s="2" t="s">
        <v>13</v>
      </c>
      <c r="C3" s="3" t="s">
        <v>14</v>
      </c>
      <c r="D3" s="8">
        <v>259.61</v>
      </c>
      <c r="E3" s="4">
        <v>84.92</v>
      </c>
      <c r="F3" s="4">
        <v>51.76</v>
      </c>
      <c r="G3" s="5">
        <f t="shared" si="1"/>
        <v>122.93</v>
      </c>
      <c r="H3" s="6">
        <f t="shared" si="2"/>
        <v>0.4735179693</v>
      </c>
      <c r="I3" s="7">
        <f t="shared" si="3"/>
        <v>2.375</v>
      </c>
    </row>
    <row r="4">
      <c r="A4" s="2" t="s">
        <v>15</v>
      </c>
      <c r="B4" s="2" t="s">
        <v>16</v>
      </c>
      <c r="C4" s="3" t="s">
        <v>17</v>
      </c>
      <c r="D4" s="8">
        <v>927.28</v>
      </c>
      <c r="E4" s="4">
        <v>430.38</v>
      </c>
      <c r="F4" s="4">
        <v>94.61</v>
      </c>
      <c r="G4" s="5">
        <f t="shared" si="1"/>
        <v>402.29</v>
      </c>
      <c r="H4" s="6">
        <f t="shared" si="2"/>
        <v>0.4338387542</v>
      </c>
      <c r="I4" s="7">
        <f t="shared" si="3"/>
        <v>4.252087517</v>
      </c>
    </row>
    <row r="5">
      <c r="A5" s="2" t="s">
        <v>18</v>
      </c>
      <c r="B5" s="2" t="s">
        <v>19</v>
      </c>
      <c r="C5" s="3" t="s">
        <v>11</v>
      </c>
      <c r="D5" s="8">
        <v>198.55</v>
      </c>
      <c r="E5" s="4">
        <v>60.5</v>
      </c>
      <c r="F5" s="4">
        <v>36.46</v>
      </c>
      <c r="G5" s="5">
        <f t="shared" si="1"/>
        <v>101.59</v>
      </c>
      <c r="H5" s="6">
        <f t="shared" si="2"/>
        <v>0.5116595316</v>
      </c>
      <c r="I5" s="7">
        <f t="shared" si="3"/>
        <v>2.786341196</v>
      </c>
    </row>
    <row r="6">
      <c r="A6" s="2" t="s">
        <v>20</v>
      </c>
      <c r="B6" s="2" t="s">
        <v>21</v>
      </c>
      <c r="C6" s="3" t="s">
        <v>22</v>
      </c>
      <c r="D6" s="4">
        <v>1648.76</v>
      </c>
      <c r="E6" s="4">
        <v>1155.55</v>
      </c>
      <c r="F6" s="4">
        <v>236.65</v>
      </c>
      <c r="G6" s="5">
        <f t="shared" si="1"/>
        <v>256.56</v>
      </c>
      <c r="H6" s="6">
        <f t="shared" si="2"/>
        <v>0.1556078507</v>
      </c>
      <c r="I6" s="7">
        <f t="shared" si="3"/>
        <v>1.084132685</v>
      </c>
    </row>
    <row r="7">
      <c r="A7" s="2" t="s">
        <v>23</v>
      </c>
      <c r="B7" s="2" t="s">
        <v>24</v>
      </c>
      <c r="C7" s="3" t="s">
        <v>22</v>
      </c>
      <c r="D7" s="4">
        <v>1473.09</v>
      </c>
      <c r="E7" s="4">
        <v>1017.96</v>
      </c>
      <c r="F7" s="4">
        <v>195.76</v>
      </c>
      <c r="G7" s="5">
        <f t="shared" si="1"/>
        <v>259.37</v>
      </c>
      <c r="H7" s="6">
        <f t="shared" si="2"/>
        <v>0.1760720662</v>
      </c>
      <c r="I7" s="7">
        <f t="shared" si="3"/>
        <v>1.3249387</v>
      </c>
    </row>
    <row r="8">
      <c r="A8" s="2" t="s">
        <v>25</v>
      </c>
      <c r="B8" s="2" t="s">
        <v>26</v>
      </c>
      <c r="C8" s="3" t="s">
        <v>22</v>
      </c>
      <c r="D8" s="4">
        <v>1417.76</v>
      </c>
      <c r="E8" s="4">
        <v>932.46</v>
      </c>
      <c r="F8" s="4">
        <v>142.18</v>
      </c>
      <c r="G8" s="5">
        <f t="shared" si="1"/>
        <v>343.12</v>
      </c>
      <c r="H8" s="6">
        <f t="shared" si="2"/>
        <v>0.2420155739</v>
      </c>
      <c r="I8" s="7">
        <f t="shared" si="3"/>
        <v>2.413278942</v>
      </c>
    </row>
    <row r="9">
      <c r="A9" s="2" t="s">
        <v>27</v>
      </c>
      <c r="B9" s="2" t="s">
        <v>28</v>
      </c>
      <c r="C9" s="3" t="s">
        <v>14</v>
      </c>
      <c r="D9" s="4">
        <v>131.59</v>
      </c>
      <c r="E9" s="4">
        <v>45.13</v>
      </c>
      <c r="F9" s="4">
        <v>30.37</v>
      </c>
      <c r="G9" s="5">
        <f t="shared" si="1"/>
        <v>56.09</v>
      </c>
      <c r="H9" s="6">
        <f t="shared" si="2"/>
        <v>0.4262481952</v>
      </c>
      <c r="I9" s="7">
        <f t="shared" si="3"/>
        <v>1.846888377</v>
      </c>
    </row>
    <row r="10">
      <c r="A10" s="2" t="s">
        <v>29</v>
      </c>
      <c r="B10" s="2" t="s">
        <v>30</v>
      </c>
      <c r="C10" s="3" t="s">
        <v>17</v>
      </c>
      <c r="D10" s="4">
        <v>1060.08</v>
      </c>
      <c r="E10" s="4">
        <v>562.6</v>
      </c>
      <c r="F10" s="4">
        <v>174.16</v>
      </c>
      <c r="G10" s="5">
        <f t="shared" si="1"/>
        <v>323.32</v>
      </c>
      <c r="H10" s="6">
        <f t="shared" si="2"/>
        <v>0.3049958494</v>
      </c>
      <c r="I10" s="7">
        <f t="shared" si="3"/>
        <v>1.856453836</v>
      </c>
    </row>
    <row r="11">
      <c r="A11" s="2" t="s">
        <v>31</v>
      </c>
      <c r="B11" s="2" t="s">
        <v>32</v>
      </c>
      <c r="C11" s="3" t="s">
        <v>17</v>
      </c>
      <c r="D11" s="4">
        <v>523.88</v>
      </c>
      <c r="E11" s="4">
        <v>279.69</v>
      </c>
      <c r="F11" s="4">
        <v>74.99</v>
      </c>
      <c r="G11" s="5">
        <f t="shared" si="1"/>
        <v>169.2</v>
      </c>
      <c r="H11" s="6">
        <f t="shared" si="2"/>
        <v>0.322974727</v>
      </c>
      <c r="I11" s="7">
        <f t="shared" si="3"/>
        <v>2.25630084</v>
      </c>
    </row>
    <row r="12">
      <c r="A12" s="2" t="s">
        <v>33</v>
      </c>
      <c r="B12" s="2" t="s">
        <v>34</v>
      </c>
      <c r="C12" s="3" t="s">
        <v>22</v>
      </c>
      <c r="D12" s="4">
        <v>2980.09</v>
      </c>
      <c r="E12" s="4">
        <v>2204.1</v>
      </c>
      <c r="F12" s="4">
        <v>304.74</v>
      </c>
      <c r="G12" s="5">
        <f t="shared" si="1"/>
        <v>471.25</v>
      </c>
      <c r="H12" s="6">
        <f t="shared" si="2"/>
        <v>0.1581328081</v>
      </c>
      <c r="I12" s="7">
        <f t="shared" si="3"/>
        <v>1.54640021</v>
      </c>
    </row>
    <row r="13">
      <c r="A13" s="2" t="s">
        <v>35</v>
      </c>
      <c r="B13" s="2" t="s">
        <v>36</v>
      </c>
      <c r="C13" s="3" t="s">
        <v>14</v>
      </c>
      <c r="D13" s="4">
        <v>115.22</v>
      </c>
      <c r="E13" s="4">
        <v>31.43</v>
      </c>
      <c r="F13" s="4">
        <v>22.2</v>
      </c>
      <c r="G13" s="5">
        <f t="shared" si="1"/>
        <v>61.59</v>
      </c>
      <c r="H13" s="6">
        <f t="shared" si="2"/>
        <v>0.5345426141</v>
      </c>
      <c r="I13" s="7">
        <f t="shared" si="3"/>
        <v>2.774324324</v>
      </c>
    </row>
    <row r="14">
      <c r="A14" s="2" t="s">
        <v>37</v>
      </c>
      <c r="B14" s="2" t="s">
        <v>38</v>
      </c>
      <c r="C14" s="3" t="s">
        <v>14</v>
      </c>
      <c r="D14" s="4">
        <v>341.76</v>
      </c>
      <c r="E14" s="4">
        <v>114.86</v>
      </c>
      <c r="F14" s="4">
        <v>51.5</v>
      </c>
      <c r="G14" s="5">
        <f t="shared" si="1"/>
        <v>175.4</v>
      </c>
      <c r="H14" s="6">
        <f t="shared" si="2"/>
        <v>0.5132256554</v>
      </c>
      <c r="I14" s="7">
        <f t="shared" si="3"/>
        <v>3.405825243</v>
      </c>
    </row>
    <row r="15">
      <c r="A15" s="2" t="s">
        <v>39</v>
      </c>
      <c r="B15" s="2" t="s">
        <v>40</v>
      </c>
      <c r="C15" s="3" t="s">
        <v>22</v>
      </c>
      <c r="D15" s="4">
        <v>2179.02</v>
      </c>
      <c r="E15" s="4">
        <v>1507.32</v>
      </c>
      <c r="F15" s="4">
        <v>208.2</v>
      </c>
      <c r="G15" s="5">
        <f t="shared" si="1"/>
        <v>463.5</v>
      </c>
      <c r="H15" s="6">
        <f t="shared" si="2"/>
        <v>0.212710301</v>
      </c>
      <c r="I15" s="7">
        <f t="shared" si="3"/>
        <v>2.226224784</v>
      </c>
    </row>
    <row r="16">
      <c r="A16" s="2" t="s">
        <v>41</v>
      </c>
      <c r="B16" s="2" t="s">
        <v>42</v>
      </c>
      <c r="C16" s="3" t="s">
        <v>22</v>
      </c>
      <c r="D16" s="4">
        <v>1123.64</v>
      </c>
      <c r="E16" s="4">
        <v>768.3</v>
      </c>
      <c r="F16" s="4">
        <v>164.06</v>
      </c>
      <c r="G16" s="5">
        <f t="shared" si="1"/>
        <v>191.28</v>
      </c>
      <c r="H16" s="6">
        <f t="shared" si="2"/>
        <v>0.1702324588</v>
      </c>
      <c r="I16" s="7">
        <f t="shared" si="3"/>
        <v>1.165914909</v>
      </c>
    </row>
    <row r="17">
      <c r="A17" s="2" t="s">
        <v>43</v>
      </c>
      <c r="B17" s="2" t="s">
        <v>44</v>
      </c>
      <c r="C17" s="3" t="s">
        <v>22</v>
      </c>
      <c r="D17" s="4">
        <v>1672.65</v>
      </c>
      <c r="E17" s="4">
        <v>1174.0</v>
      </c>
      <c r="F17" s="4">
        <v>216.13</v>
      </c>
      <c r="G17" s="5">
        <f t="shared" si="1"/>
        <v>282.52</v>
      </c>
      <c r="H17" s="6">
        <f t="shared" si="2"/>
        <v>0.1689056288</v>
      </c>
      <c r="I17" s="7">
        <f t="shared" si="3"/>
        <v>1.307176237</v>
      </c>
    </row>
    <row r="18">
      <c r="A18" s="2" t="s">
        <v>45</v>
      </c>
      <c r="B18" s="2" t="s">
        <v>46</v>
      </c>
      <c r="C18" s="3" t="s">
        <v>11</v>
      </c>
      <c r="D18" s="4">
        <v>313.63</v>
      </c>
      <c r="E18" s="4">
        <v>139.81</v>
      </c>
      <c r="F18" s="4">
        <v>67.82</v>
      </c>
      <c r="G18" s="5">
        <f t="shared" si="1"/>
        <v>106</v>
      </c>
      <c r="H18" s="6">
        <f t="shared" si="2"/>
        <v>0.337977872</v>
      </c>
      <c r="I18" s="7">
        <f t="shared" si="3"/>
        <v>1.562960779</v>
      </c>
    </row>
    <row r="19">
      <c r="A19" s="2" t="s">
        <v>47</v>
      </c>
      <c r="B19" s="2" t="s">
        <v>48</v>
      </c>
      <c r="C19" s="3" t="s">
        <v>11</v>
      </c>
      <c r="D19" s="4">
        <v>263.3</v>
      </c>
      <c r="E19" s="4">
        <v>98.63</v>
      </c>
      <c r="F19" s="4">
        <v>39.52</v>
      </c>
      <c r="G19" s="5">
        <f t="shared" si="1"/>
        <v>125.15</v>
      </c>
      <c r="H19" s="6">
        <f t="shared" si="2"/>
        <v>0.4753133308</v>
      </c>
      <c r="I19" s="7">
        <f t="shared" si="3"/>
        <v>3.166751012</v>
      </c>
    </row>
    <row r="20">
      <c r="A20" s="2" t="s">
        <v>49</v>
      </c>
      <c r="B20" s="2" t="s">
        <v>50</v>
      </c>
      <c r="C20" s="3" t="s">
        <v>11</v>
      </c>
      <c r="D20" s="4">
        <v>278.18</v>
      </c>
      <c r="E20" s="4">
        <v>84.99</v>
      </c>
      <c r="F20" s="4">
        <v>50.34</v>
      </c>
      <c r="G20" s="5">
        <f t="shared" si="1"/>
        <v>142.85</v>
      </c>
      <c r="H20" s="6">
        <f t="shared" si="2"/>
        <v>0.5135164282</v>
      </c>
      <c r="I20" s="7">
        <f t="shared" si="3"/>
        <v>2.837703615</v>
      </c>
    </row>
    <row r="21" ht="15.75" customHeight="1">
      <c r="A21" s="2" t="s">
        <v>51</v>
      </c>
      <c r="B21" s="2" t="s">
        <v>52</v>
      </c>
      <c r="C21" s="3" t="s">
        <v>11</v>
      </c>
      <c r="D21" s="4">
        <v>376.21</v>
      </c>
      <c r="E21" s="4">
        <v>115.77</v>
      </c>
      <c r="F21" s="4">
        <v>55.63</v>
      </c>
      <c r="G21" s="5">
        <f t="shared" si="1"/>
        <v>204.81</v>
      </c>
      <c r="H21" s="6">
        <f t="shared" si="2"/>
        <v>0.5444033917</v>
      </c>
      <c r="I21" s="7">
        <f t="shared" si="3"/>
        <v>3.681646594</v>
      </c>
    </row>
    <row r="22" ht="15.75" customHeight="1">
      <c r="A22" s="2" t="s">
        <v>53</v>
      </c>
      <c r="B22" s="2" t="s">
        <v>54</v>
      </c>
      <c r="C22" s="3" t="s">
        <v>17</v>
      </c>
      <c r="D22" s="4">
        <v>1389.92</v>
      </c>
      <c r="E22" s="4">
        <v>605.91</v>
      </c>
      <c r="F22" s="4">
        <v>155.1</v>
      </c>
      <c r="G22" s="5">
        <f t="shared" si="1"/>
        <v>628.91</v>
      </c>
      <c r="H22" s="6">
        <f t="shared" si="2"/>
        <v>0.4524792794</v>
      </c>
      <c r="I22" s="7">
        <f t="shared" si="3"/>
        <v>4.054867827</v>
      </c>
    </row>
    <row r="23" ht="15.75" customHeight="1">
      <c r="A23" s="2" t="s">
        <v>55</v>
      </c>
      <c r="B23" s="2" t="s">
        <v>56</v>
      </c>
      <c r="C23" s="3" t="s">
        <v>22</v>
      </c>
      <c r="D23" s="4">
        <v>2121.52</v>
      </c>
      <c r="E23" s="4">
        <v>1588.1</v>
      </c>
      <c r="F23" s="4">
        <v>205.67</v>
      </c>
      <c r="G23" s="5">
        <f t="shared" si="1"/>
        <v>327.75</v>
      </c>
      <c r="H23" s="6">
        <f t="shared" si="2"/>
        <v>0.1544882914</v>
      </c>
      <c r="I23" s="7">
        <f t="shared" si="3"/>
        <v>1.593572227</v>
      </c>
    </row>
    <row r="24" ht="15.75" customHeight="1">
      <c r="A24" s="2" t="s">
        <v>57</v>
      </c>
      <c r="B24" s="2" t="s">
        <v>58</v>
      </c>
      <c r="C24" s="3" t="s">
        <v>11</v>
      </c>
      <c r="D24" s="4">
        <v>452.46</v>
      </c>
      <c r="E24" s="4">
        <v>187.43</v>
      </c>
      <c r="F24" s="4">
        <v>65.05</v>
      </c>
      <c r="G24" s="5">
        <f t="shared" si="1"/>
        <v>199.98</v>
      </c>
      <c r="H24" s="6">
        <f t="shared" si="2"/>
        <v>0.4419838218</v>
      </c>
      <c r="I24" s="7">
        <f t="shared" si="3"/>
        <v>3.074250576</v>
      </c>
    </row>
    <row r="25" ht="15.75" customHeight="1">
      <c r="A25" s="2" t="s">
        <v>59</v>
      </c>
      <c r="B25" s="2" t="s">
        <v>60</v>
      </c>
      <c r="C25" s="3" t="s">
        <v>11</v>
      </c>
      <c r="D25" s="4">
        <v>477.7</v>
      </c>
      <c r="E25" s="4">
        <v>169.66</v>
      </c>
      <c r="F25" s="4">
        <v>87.53</v>
      </c>
      <c r="G25" s="5">
        <f t="shared" si="1"/>
        <v>220.51</v>
      </c>
      <c r="H25" s="6">
        <f t="shared" si="2"/>
        <v>0.4616077036</v>
      </c>
      <c r="I25" s="7">
        <f t="shared" si="3"/>
        <v>2.519250543</v>
      </c>
    </row>
    <row r="26" ht="15.75" customHeight="1">
      <c r="A26" s="2" t="s">
        <v>61</v>
      </c>
      <c r="B26" s="2" t="s">
        <v>62</v>
      </c>
      <c r="C26" s="3" t="s">
        <v>11</v>
      </c>
      <c r="D26" s="4">
        <v>435.09</v>
      </c>
      <c r="E26" s="4">
        <v>165.49</v>
      </c>
      <c r="F26" s="4">
        <v>56.14</v>
      </c>
      <c r="G26" s="5">
        <f t="shared" si="1"/>
        <v>213.46</v>
      </c>
      <c r="H26" s="6">
        <f t="shared" si="2"/>
        <v>0.4906111379</v>
      </c>
      <c r="I26" s="7">
        <f t="shared" si="3"/>
        <v>3.802280014</v>
      </c>
    </row>
    <row r="27" ht="15.75" customHeight="1">
      <c r="A27" s="2" t="s">
        <v>63</v>
      </c>
      <c r="B27" s="2" t="s">
        <v>64</v>
      </c>
      <c r="C27" s="3" t="s">
        <v>17</v>
      </c>
      <c r="D27" s="4">
        <v>1302.36</v>
      </c>
      <c r="E27" s="4">
        <v>583.61</v>
      </c>
      <c r="F27" s="4">
        <v>149.67</v>
      </c>
      <c r="G27" s="5">
        <f t="shared" si="1"/>
        <v>569.08</v>
      </c>
      <c r="H27" s="6">
        <f t="shared" si="2"/>
        <v>0.4369605946</v>
      </c>
      <c r="I27" s="7">
        <f t="shared" si="3"/>
        <v>3.802231576</v>
      </c>
    </row>
    <row r="28" ht="15.75" customHeight="1">
      <c r="A28" s="2" t="s">
        <v>65</v>
      </c>
      <c r="B28" s="2" t="s">
        <v>66</v>
      </c>
      <c r="C28" s="3" t="s">
        <v>22</v>
      </c>
      <c r="D28" s="4">
        <v>910.09</v>
      </c>
      <c r="E28" s="4">
        <v>645.34</v>
      </c>
      <c r="F28" s="4">
        <v>115.97</v>
      </c>
      <c r="G28" s="5">
        <f t="shared" si="1"/>
        <v>148.78</v>
      </c>
      <c r="H28" s="6">
        <f t="shared" si="2"/>
        <v>0.1634783373</v>
      </c>
      <c r="I28" s="7">
        <f t="shared" si="3"/>
        <v>1.282917996</v>
      </c>
    </row>
    <row r="29" ht="15.75" customHeight="1">
      <c r="A29" s="2" t="s">
        <v>67</v>
      </c>
      <c r="B29" s="2" t="s">
        <v>68</v>
      </c>
      <c r="C29" s="3" t="s">
        <v>11</v>
      </c>
      <c r="D29" s="4">
        <v>157.46</v>
      </c>
      <c r="E29" s="4">
        <v>59.33</v>
      </c>
      <c r="F29" s="4">
        <v>22.46</v>
      </c>
      <c r="G29" s="5">
        <f t="shared" si="1"/>
        <v>75.67</v>
      </c>
      <c r="H29" s="6">
        <f t="shared" si="2"/>
        <v>0.4805664931</v>
      </c>
      <c r="I29" s="7">
        <f t="shared" si="3"/>
        <v>3.369100623</v>
      </c>
    </row>
    <row r="30" ht="15.75" customHeight="1">
      <c r="A30" s="2" t="s">
        <v>69</v>
      </c>
      <c r="B30" s="2" t="s">
        <v>70</v>
      </c>
      <c r="C30" s="3" t="s">
        <v>11</v>
      </c>
      <c r="D30" s="4">
        <v>440.33</v>
      </c>
      <c r="E30" s="4">
        <v>143.62</v>
      </c>
      <c r="F30" s="4">
        <v>83.26</v>
      </c>
      <c r="G30" s="5">
        <f t="shared" si="1"/>
        <v>213.45</v>
      </c>
      <c r="H30" s="6">
        <f t="shared" si="2"/>
        <v>0.4847500738</v>
      </c>
      <c r="I30" s="7">
        <f t="shared" si="3"/>
        <v>2.563656017</v>
      </c>
    </row>
    <row r="31" ht="15.75" customHeight="1">
      <c r="A31" s="2" t="s">
        <v>71</v>
      </c>
      <c r="B31" s="2" t="s">
        <v>72</v>
      </c>
      <c r="C31" s="3" t="s">
        <v>22</v>
      </c>
      <c r="D31" s="4">
        <v>1844.19</v>
      </c>
      <c r="E31" s="4">
        <v>1371.47</v>
      </c>
      <c r="F31" s="4">
        <v>165.29</v>
      </c>
      <c r="G31" s="5">
        <f t="shared" si="1"/>
        <v>307.43</v>
      </c>
      <c r="H31" s="6">
        <f t="shared" si="2"/>
        <v>0.1667019125</v>
      </c>
      <c r="I31" s="7">
        <f t="shared" si="3"/>
        <v>1.85994313</v>
      </c>
    </row>
    <row r="32" ht="15.75" customHeight="1">
      <c r="A32" s="2" t="s">
        <v>73</v>
      </c>
      <c r="B32" s="2" t="s">
        <v>74</v>
      </c>
      <c r="C32" s="3" t="s">
        <v>17</v>
      </c>
      <c r="D32" s="4">
        <v>709.28</v>
      </c>
      <c r="E32" s="4">
        <v>295.78</v>
      </c>
      <c r="F32" s="4">
        <v>123.4</v>
      </c>
      <c r="G32" s="5">
        <f t="shared" si="1"/>
        <v>290.1</v>
      </c>
      <c r="H32" s="6">
        <f t="shared" si="2"/>
        <v>0.4090063163</v>
      </c>
      <c r="I32" s="7">
        <f t="shared" si="3"/>
        <v>2.35089141</v>
      </c>
    </row>
    <row r="33" ht="15.75" customHeight="1">
      <c r="A33" s="2" t="s">
        <v>75</v>
      </c>
      <c r="B33" s="2" t="s">
        <v>76</v>
      </c>
      <c r="C33" s="3" t="s">
        <v>22</v>
      </c>
      <c r="D33" s="4">
        <v>3168.82</v>
      </c>
      <c r="E33" s="4">
        <v>2141.47</v>
      </c>
      <c r="F33" s="4">
        <v>399.9</v>
      </c>
      <c r="G33" s="5">
        <f t="shared" si="1"/>
        <v>627.45</v>
      </c>
      <c r="H33" s="6">
        <f t="shared" si="2"/>
        <v>0.1980074602</v>
      </c>
      <c r="I33" s="7">
        <f t="shared" si="3"/>
        <v>1.569017254</v>
      </c>
    </row>
    <row r="34" ht="15.75" customHeight="1">
      <c r="A34" s="2" t="s">
        <v>77</v>
      </c>
      <c r="B34" s="2" t="s">
        <v>78</v>
      </c>
      <c r="C34" s="3" t="s">
        <v>22</v>
      </c>
      <c r="D34" s="4">
        <v>3006.5</v>
      </c>
      <c r="E34" s="4">
        <v>2121.15</v>
      </c>
      <c r="F34" s="4">
        <v>351.99</v>
      </c>
      <c r="G34" s="5">
        <f t="shared" si="1"/>
        <v>533.36</v>
      </c>
      <c r="H34" s="6">
        <f t="shared" si="2"/>
        <v>0.177402295</v>
      </c>
      <c r="I34" s="7">
        <f t="shared" si="3"/>
        <v>1.51527032</v>
      </c>
    </row>
    <row r="35" ht="15.75" customHeight="1">
      <c r="A35" s="2" t="s">
        <v>79</v>
      </c>
      <c r="B35" s="2" t="s">
        <v>80</v>
      </c>
      <c r="C35" s="3" t="s">
        <v>14</v>
      </c>
      <c r="D35" s="4">
        <v>157.39</v>
      </c>
      <c r="E35" s="4">
        <v>40.81</v>
      </c>
      <c r="F35" s="4">
        <v>37.73</v>
      </c>
      <c r="G35" s="5">
        <f t="shared" si="1"/>
        <v>78.85</v>
      </c>
      <c r="H35" s="6">
        <f t="shared" si="2"/>
        <v>0.5009848148</v>
      </c>
      <c r="I35" s="7">
        <f t="shared" si="3"/>
        <v>2.089848927</v>
      </c>
    </row>
    <row r="36" ht="15.75" customHeight="1">
      <c r="A36" s="2" t="s">
        <v>81</v>
      </c>
      <c r="B36" s="2" t="s">
        <v>82</v>
      </c>
      <c r="C36" s="3" t="s">
        <v>14</v>
      </c>
      <c r="D36" s="4">
        <v>368.13</v>
      </c>
      <c r="E36" s="4">
        <v>115.34</v>
      </c>
      <c r="F36" s="4">
        <v>67.7</v>
      </c>
      <c r="G36" s="5">
        <f t="shared" si="1"/>
        <v>185.09</v>
      </c>
      <c r="H36" s="6">
        <f t="shared" si="2"/>
        <v>0.5027843425</v>
      </c>
      <c r="I36" s="7">
        <f t="shared" si="3"/>
        <v>2.733973412</v>
      </c>
    </row>
    <row r="37" ht="15.75" customHeight="1">
      <c r="A37" s="2" t="s">
        <v>83</v>
      </c>
      <c r="B37" s="2" t="s">
        <v>84</v>
      </c>
      <c r="C37" s="3" t="s">
        <v>14</v>
      </c>
      <c r="D37" s="4">
        <v>191.75</v>
      </c>
      <c r="E37" s="4">
        <v>61.86</v>
      </c>
      <c r="F37" s="4">
        <v>45.96</v>
      </c>
      <c r="G37" s="5">
        <f t="shared" si="1"/>
        <v>83.93</v>
      </c>
      <c r="H37" s="6">
        <f t="shared" si="2"/>
        <v>0.4377053455</v>
      </c>
      <c r="I37" s="7">
        <f t="shared" si="3"/>
        <v>1.826153177</v>
      </c>
    </row>
    <row r="38" ht="15.75" customHeight="1">
      <c r="A38" s="2" t="s">
        <v>85</v>
      </c>
      <c r="B38" s="2" t="s">
        <v>86</v>
      </c>
      <c r="C38" s="3" t="s">
        <v>11</v>
      </c>
      <c r="D38" s="4">
        <v>549.19</v>
      </c>
      <c r="E38" s="4">
        <v>229.0</v>
      </c>
      <c r="F38" s="4">
        <v>101.16</v>
      </c>
      <c r="G38" s="5">
        <f t="shared" si="1"/>
        <v>219.03</v>
      </c>
      <c r="H38" s="6">
        <f t="shared" si="2"/>
        <v>0.3988237222</v>
      </c>
      <c r="I38" s="7">
        <f t="shared" si="3"/>
        <v>2.165183867</v>
      </c>
    </row>
    <row r="39" ht="15.75" customHeight="1">
      <c r="A39" s="2" t="s">
        <v>87</v>
      </c>
      <c r="B39" s="2" t="s">
        <v>88</v>
      </c>
      <c r="C39" s="3" t="s">
        <v>22</v>
      </c>
      <c r="D39" s="4">
        <v>1027.18</v>
      </c>
      <c r="E39" s="4">
        <v>684.27</v>
      </c>
      <c r="F39" s="4">
        <v>146.78</v>
      </c>
      <c r="G39" s="5">
        <f t="shared" si="1"/>
        <v>196.13</v>
      </c>
      <c r="H39" s="6">
        <f t="shared" si="2"/>
        <v>0.1909402442</v>
      </c>
      <c r="I39" s="7">
        <f t="shared" si="3"/>
        <v>1.336217468</v>
      </c>
    </row>
    <row r="40" ht="15.75" customHeight="1">
      <c r="A40" s="2" t="s">
        <v>89</v>
      </c>
      <c r="B40" s="2" t="s">
        <v>90</v>
      </c>
      <c r="C40" s="3" t="s">
        <v>17</v>
      </c>
      <c r="D40" s="4">
        <v>1027.71</v>
      </c>
      <c r="E40" s="4">
        <v>412.5</v>
      </c>
      <c r="F40" s="4">
        <v>111.11</v>
      </c>
      <c r="G40" s="5">
        <f t="shared" si="1"/>
        <v>504.1</v>
      </c>
      <c r="H40" s="6">
        <f t="shared" si="2"/>
        <v>0.4905080227</v>
      </c>
      <c r="I40" s="7">
        <f t="shared" si="3"/>
        <v>4.536945369</v>
      </c>
    </row>
    <row r="41" ht="15.75" customHeight="1">
      <c r="A41" s="2" t="s">
        <v>91</v>
      </c>
      <c r="B41" s="2" t="s">
        <v>92</v>
      </c>
      <c r="C41" s="3" t="s">
        <v>11</v>
      </c>
      <c r="D41" s="4">
        <v>448.58</v>
      </c>
      <c r="E41" s="4">
        <v>134.91</v>
      </c>
      <c r="F41" s="4">
        <v>61.04</v>
      </c>
      <c r="G41" s="5">
        <f t="shared" si="1"/>
        <v>252.63</v>
      </c>
      <c r="H41" s="6">
        <f t="shared" si="2"/>
        <v>0.5631771367</v>
      </c>
      <c r="I41" s="7">
        <f t="shared" si="3"/>
        <v>4.138761468</v>
      </c>
    </row>
    <row r="42" ht="15.75" customHeight="1">
      <c r="A42" s="2" t="s">
        <v>93</v>
      </c>
      <c r="B42" s="2" t="s">
        <v>94</v>
      </c>
      <c r="C42" s="3" t="s">
        <v>22</v>
      </c>
      <c r="D42" s="4">
        <v>2281.58</v>
      </c>
      <c r="E42" s="4">
        <v>1640.89</v>
      </c>
      <c r="F42" s="4">
        <v>286.65</v>
      </c>
      <c r="G42" s="5">
        <f t="shared" si="1"/>
        <v>354.04</v>
      </c>
      <c r="H42" s="6">
        <f t="shared" si="2"/>
        <v>0.1551731695</v>
      </c>
      <c r="I42" s="7">
        <f t="shared" si="3"/>
        <v>1.235095064</v>
      </c>
    </row>
    <row r="43" ht="15.75" customHeight="1">
      <c r="A43" s="2" t="s">
        <v>95</v>
      </c>
      <c r="B43" s="2" t="s">
        <v>96</v>
      </c>
      <c r="C43" s="3" t="s">
        <v>11</v>
      </c>
      <c r="D43" s="4">
        <v>250.92</v>
      </c>
      <c r="E43" s="4">
        <v>102.08</v>
      </c>
      <c r="F43" s="4">
        <v>36.06</v>
      </c>
      <c r="G43" s="5">
        <f t="shared" si="1"/>
        <v>112.78</v>
      </c>
      <c r="H43" s="6">
        <f t="shared" si="2"/>
        <v>0.4494659652</v>
      </c>
      <c r="I43" s="7">
        <f t="shared" si="3"/>
        <v>3.127565169</v>
      </c>
    </row>
    <row r="44" ht="15.75" customHeight="1">
      <c r="A44" s="2" t="s">
        <v>97</v>
      </c>
      <c r="B44" s="2" t="s">
        <v>98</v>
      </c>
      <c r="C44" s="3" t="s">
        <v>22</v>
      </c>
      <c r="D44" s="4">
        <v>1678.58</v>
      </c>
      <c r="E44" s="4">
        <v>1216.38</v>
      </c>
      <c r="F44" s="4">
        <v>210.62</v>
      </c>
      <c r="G44" s="5">
        <f t="shared" si="1"/>
        <v>251.58</v>
      </c>
      <c r="H44" s="6">
        <f t="shared" si="2"/>
        <v>0.1498766815</v>
      </c>
      <c r="I44" s="7">
        <f t="shared" si="3"/>
        <v>1.194473459</v>
      </c>
    </row>
    <row r="45" ht="15.75" customHeight="1">
      <c r="A45" s="2" t="s">
        <v>99</v>
      </c>
      <c r="B45" s="2" t="s">
        <v>100</v>
      </c>
      <c r="C45" s="3" t="s">
        <v>14</v>
      </c>
      <c r="D45" s="4">
        <v>351.75</v>
      </c>
      <c r="E45" s="4">
        <v>111.07</v>
      </c>
      <c r="F45" s="4">
        <v>72.75</v>
      </c>
      <c r="G45" s="5">
        <f t="shared" si="1"/>
        <v>167.93</v>
      </c>
      <c r="H45" s="6">
        <f t="shared" si="2"/>
        <v>0.4774129353</v>
      </c>
      <c r="I45" s="7">
        <f t="shared" si="3"/>
        <v>2.308316151</v>
      </c>
    </row>
    <row r="46" ht="15.75" customHeight="1">
      <c r="A46" s="2" t="s">
        <v>101</v>
      </c>
      <c r="B46" s="2" t="s">
        <v>102</v>
      </c>
      <c r="C46" s="3" t="s">
        <v>11</v>
      </c>
      <c r="D46" s="4">
        <v>192.15</v>
      </c>
      <c r="E46" s="4">
        <v>68.24</v>
      </c>
      <c r="F46" s="4">
        <v>28.15</v>
      </c>
      <c r="G46" s="5">
        <f t="shared" si="1"/>
        <v>95.76</v>
      </c>
      <c r="H46" s="6">
        <f t="shared" si="2"/>
        <v>0.4983606557</v>
      </c>
      <c r="I46" s="7">
        <f t="shared" si="3"/>
        <v>3.401776199</v>
      </c>
    </row>
    <row r="47" ht="15.75" customHeight="1">
      <c r="A47" s="2" t="s">
        <v>103</v>
      </c>
      <c r="B47" s="2" t="s">
        <v>104</v>
      </c>
      <c r="C47" s="3" t="s">
        <v>17</v>
      </c>
      <c r="D47" s="4">
        <v>592.79</v>
      </c>
      <c r="E47" s="4">
        <v>323.63</v>
      </c>
      <c r="F47" s="4">
        <v>77.92</v>
      </c>
      <c r="G47" s="5">
        <f t="shared" si="1"/>
        <v>191.24</v>
      </c>
      <c r="H47" s="6">
        <f t="shared" si="2"/>
        <v>0.3226100305</v>
      </c>
      <c r="I47" s="7">
        <f t="shared" si="3"/>
        <v>2.454312115</v>
      </c>
    </row>
    <row r="48" ht="15.75" customHeight="1">
      <c r="A48" s="2" t="s">
        <v>105</v>
      </c>
      <c r="B48" s="2" t="s">
        <v>106</v>
      </c>
      <c r="C48" s="3" t="s">
        <v>11</v>
      </c>
      <c r="D48" s="4">
        <v>551.42</v>
      </c>
      <c r="E48" s="4">
        <v>217.63</v>
      </c>
      <c r="F48" s="4">
        <v>110.0</v>
      </c>
      <c r="G48" s="5">
        <f t="shared" si="1"/>
        <v>223.79</v>
      </c>
      <c r="H48" s="6">
        <f t="shared" si="2"/>
        <v>0.405843096</v>
      </c>
      <c r="I48" s="7">
        <f t="shared" si="3"/>
        <v>2.034454545</v>
      </c>
    </row>
    <row r="49" ht="15.75" customHeight="1">
      <c r="A49" s="2" t="s">
        <v>107</v>
      </c>
      <c r="B49" s="2" t="s">
        <v>108</v>
      </c>
      <c r="C49" s="3" t="s">
        <v>11</v>
      </c>
      <c r="D49" s="4">
        <v>376.19</v>
      </c>
      <c r="E49" s="4">
        <v>145.41</v>
      </c>
      <c r="F49" s="4">
        <v>63.67</v>
      </c>
      <c r="G49" s="5">
        <f t="shared" si="1"/>
        <v>167.11</v>
      </c>
      <c r="H49" s="6">
        <f t="shared" si="2"/>
        <v>0.444217018</v>
      </c>
      <c r="I49" s="7">
        <f t="shared" si="3"/>
        <v>2.624626983</v>
      </c>
    </row>
    <row r="50" ht="15.75" customHeight="1">
      <c r="A50" s="2" t="s">
        <v>109</v>
      </c>
      <c r="B50" s="2" t="s">
        <v>110</v>
      </c>
      <c r="C50" s="3" t="s">
        <v>11</v>
      </c>
      <c r="D50" s="4">
        <v>237.86</v>
      </c>
      <c r="E50" s="4">
        <v>97.13</v>
      </c>
      <c r="F50" s="4">
        <v>35.22</v>
      </c>
      <c r="G50" s="5">
        <f t="shared" si="1"/>
        <v>105.51</v>
      </c>
      <c r="H50" s="6">
        <f t="shared" si="2"/>
        <v>0.4435802573</v>
      </c>
      <c r="I50" s="7">
        <f t="shared" si="3"/>
        <v>2.995741056</v>
      </c>
    </row>
    <row r="51" ht="15.75" customHeight="1">
      <c r="A51" s="2" t="s">
        <v>111</v>
      </c>
      <c r="B51" s="2" t="s">
        <v>112</v>
      </c>
      <c r="C51" s="3" t="s">
        <v>22</v>
      </c>
      <c r="D51" s="4">
        <v>865.65</v>
      </c>
      <c r="E51" s="4">
        <v>618.55</v>
      </c>
      <c r="F51" s="4">
        <v>79.98</v>
      </c>
      <c r="G51" s="5">
        <f t="shared" si="1"/>
        <v>167.12</v>
      </c>
      <c r="H51" s="6">
        <f t="shared" si="2"/>
        <v>0.1930572402</v>
      </c>
      <c r="I51" s="7">
        <f t="shared" si="3"/>
        <v>2.089522381</v>
      </c>
    </row>
    <row r="52" ht="15.75" customHeight="1">
      <c r="A52" s="2" t="s">
        <v>113</v>
      </c>
      <c r="B52" s="2" t="s">
        <v>114</v>
      </c>
      <c r="C52" s="3" t="s">
        <v>14</v>
      </c>
      <c r="D52" s="4">
        <v>380.95</v>
      </c>
      <c r="E52" s="4">
        <v>131.58</v>
      </c>
      <c r="F52" s="4">
        <v>91.99</v>
      </c>
      <c r="G52" s="5">
        <f t="shared" si="1"/>
        <v>157.38</v>
      </c>
      <c r="H52" s="6">
        <f t="shared" si="2"/>
        <v>0.413125082</v>
      </c>
      <c r="I52" s="7">
        <f t="shared" si="3"/>
        <v>1.710838135</v>
      </c>
    </row>
    <row r="53" ht="15.75" customHeight="1">
      <c r="A53" s="2" t="s">
        <v>115</v>
      </c>
      <c r="B53" s="2" t="s">
        <v>116</v>
      </c>
      <c r="C53" s="3" t="s">
        <v>17</v>
      </c>
      <c r="D53" s="4">
        <v>744.19</v>
      </c>
      <c r="E53" s="4">
        <v>299.4</v>
      </c>
      <c r="F53" s="4">
        <v>129.69</v>
      </c>
      <c r="G53" s="5">
        <f t="shared" si="1"/>
        <v>315.1</v>
      </c>
      <c r="H53" s="6">
        <f t="shared" si="2"/>
        <v>0.4234133756</v>
      </c>
      <c r="I53" s="7">
        <f t="shared" si="3"/>
        <v>2.429639911</v>
      </c>
    </row>
    <row r="54" ht="15.75" customHeight="1">
      <c r="A54" s="2" t="s">
        <v>117</v>
      </c>
      <c r="B54" s="2" t="s">
        <v>118</v>
      </c>
      <c r="C54" s="3" t="s">
        <v>14</v>
      </c>
      <c r="D54" s="4">
        <v>217.02</v>
      </c>
      <c r="E54" s="4">
        <v>75.23</v>
      </c>
      <c r="F54" s="4">
        <v>53.47</v>
      </c>
      <c r="G54" s="5">
        <f t="shared" si="1"/>
        <v>88.32</v>
      </c>
      <c r="H54" s="6">
        <f t="shared" si="2"/>
        <v>0.4069670998</v>
      </c>
      <c r="I54" s="7">
        <f t="shared" si="3"/>
        <v>1.651767346</v>
      </c>
    </row>
    <row r="55" ht="15.75" customHeight="1">
      <c r="A55" s="2" t="s">
        <v>119</v>
      </c>
      <c r="B55" s="2" t="s">
        <v>120</v>
      </c>
      <c r="C55" s="3" t="s">
        <v>14</v>
      </c>
      <c r="D55" s="4">
        <v>352.96</v>
      </c>
      <c r="E55" s="4">
        <v>98.63</v>
      </c>
      <c r="F55" s="4">
        <v>66.54</v>
      </c>
      <c r="G55" s="5">
        <f t="shared" si="1"/>
        <v>187.79</v>
      </c>
      <c r="H55" s="6">
        <f t="shared" si="2"/>
        <v>0.532043291</v>
      </c>
      <c r="I55" s="7">
        <f t="shared" si="3"/>
        <v>2.822212203</v>
      </c>
    </row>
    <row r="56" ht="15.75" customHeight="1">
      <c r="A56" s="2" t="s">
        <v>121</v>
      </c>
      <c r="B56" s="2" t="s">
        <v>122</v>
      </c>
      <c r="C56" s="3" t="s">
        <v>11</v>
      </c>
      <c r="D56" s="4">
        <v>533.01</v>
      </c>
      <c r="E56" s="4">
        <v>185.24</v>
      </c>
      <c r="F56" s="4">
        <v>73.0</v>
      </c>
      <c r="G56" s="5">
        <f t="shared" si="1"/>
        <v>274.77</v>
      </c>
      <c r="H56" s="6">
        <f t="shared" si="2"/>
        <v>0.5155062757</v>
      </c>
      <c r="I56" s="7">
        <f t="shared" si="3"/>
        <v>3.763972603</v>
      </c>
    </row>
    <row r="57" ht="15.75" customHeight="1">
      <c r="A57" s="2" t="s">
        <v>123</v>
      </c>
      <c r="B57" s="2" t="s">
        <v>124</v>
      </c>
      <c r="C57" s="3" t="s">
        <v>14</v>
      </c>
      <c r="D57" s="4">
        <v>258.18</v>
      </c>
      <c r="E57" s="4">
        <v>88.71</v>
      </c>
      <c r="F57" s="4">
        <v>56.7</v>
      </c>
      <c r="G57" s="5">
        <f t="shared" si="1"/>
        <v>112.77</v>
      </c>
      <c r="H57" s="6">
        <f t="shared" si="2"/>
        <v>0.4367882872</v>
      </c>
      <c r="I57" s="7">
        <f t="shared" si="3"/>
        <v>1.988888889</v>
      </c>
    </row>
    <row r="58" ht="15.75" customHeight="1">
      <c r="A58" s="2" t="s">
        <v>125</v>
      </c>
      <c r="B58" s="2" t="s">
        <v>126</v>
      </c>
      <c r="C58" s="3" t="s">
        <v>22</v>
      </c>
      <c r="D58" s="4">
        <v>2339.17</v>
      </c>
      <c r="E58" s="4">
        <v>1543.19</v>
      </c>
      <c r="F58" s="4">
        <v>287.84</v>
      </c>
      <c r="G58" s="5">
        <f t="shared" si="1"/>
        <v>508.14</v>
      </c>
      <c r="H58" s="6">
        <f t="shared" si="2"/>
        <v>0.2172308981</v>
      </c>
      <c r="I58" s="7">
        <f t="shared" si="3"/>
        <v>1.765355753</v>
      </c>
    </row>
    <row r="59" ht="15.75" customHeight="1">
      <c r="A59" s="2" t="s">
        <v>127</v>
      </c>
      <c r="B59" s="2" t="s">
        <v>128</v>
      </c>
      <c r="C59" s="3" t="s">
        <v>22</v>
      </c>
      <c r="D59" s="4">
        <v>3473.15</v>
      </c>
      <c r="E59" s="4">
        <v>2306.2</v>
      </c>
      <c r="F59" s="4">
        <v>403.87</v>
      </c>
      <c r="G59" s="5">
        <f t="shared" si="1"/>
        <v>763.08</v>
      </c>
      <c r="H59" s="6">
        <f t="shared" si="2"/>
        <v>0.2197083339</v>
      </c>
      <c r="I59" s="7">
        <f t="shared" si="3"/>
        <v>1.889419863</v>
      </c>
    </row>
    <row r="60" ht="15.75" customHeight="1">
      <c r="A60" s="2" t="s">
        <v>129</v>
      </c>
      <c r="B60" s="2" t="s">
        <v>130</v>
      </c>
      <c r="C60" s="3" t="s">
        <v>22</v>
      </c>
      <c r="D60" s="4">
        <v>3168.91</v>
      </c>
      <c r="E60" s="4">
        <v>2294.53</v>
      </c>
      <c r="F60" s="4">
        <v>408.13</v>
      </c>
      <c r="G60" s="5">
        <f t="shared" si="1"/>
        <v>466.25</v>
      </c>
      <c r="H60" s="6">
        <f t="shared" si="2"/>
        <v>0.1471326103</v>
      </c>
      <c r="I60" s="7">
        <f t="shared" si="3"/>
        <v>1.142405606</v>
      </c>
    </row>
    <row r="61" ht="15.75" customHeight="1">
      <c r="A61" s="2" t="s">
        <v>131</v>
      </c>
      <c r="B61" s="2" t="s">
        <v>132</v>
      </c>
      <c r="C61" s="3" t="s">
        <v>11</v>
      </c>
      <c r="D61" s="4">
        <v>466.12</v>
      </c>
      <c r="E61" s="4">
        <v>164.97</v>
      </c>
      <c r="F61" s="4">
        <v>69.62</v>
      </c>
      <c r="G61" s="5">
        <f t="shared" si="1"/>
        <v>231.53</v>
      </c>
      <c r="H61" s="6">
        <f t="shared" si="2"/>
        <v>0.4967175835</v>
      </c>
      <c r="I61" s="7">
        <f t="shared" si="3"/>
        <v>3.32562482</v>
      </c>
    </row>
    <row r="62" ht="15.75" customHeight="1">
      <c r="A62" s="2" t="s">
        <v>133</v>
      </c>
      <c r="B62" s="2" t="s">
        <v>134</v>
      </c>
      <c r="C62" s="3" t="s">
        <v>11</v>
      </c>
      <c r="D62" s="4">
        <v>514.21</v>
      </c>
      <c r="E62" s="4">
        <v>216.75</v>
      </c>
      <c r="F62" s="4">
        <v>106.29</v>
      </c>
      <c r="G62" s="5">
        <f t="shared" si="1"/>
        <v>191.17</v>
      </c>
      <c r="H62" s="6">
        <f t="shared" si="2"/>
        <v>0.3717741779</v>
      </c>
      <c r="I62" s="7">
        <f t="shared" si="3"/>
        <v>1.79856995</v>
      </c>
    </row>
    <row r="63" ht="15.75" customHeight="1">
      <c r="A63" s="2" t="s">
        <v>135</v>
      </c>
      <c r="B63" s="2" t="s">
        <v>136</v>
      </c>
      <c r="C63" s="3" t="s">
        <v>11</v>
      </c>
      <c r="D63" s="4">
        <v>560.96</v>
      </c>
      <c r="E63" s="4">
        <v>211.31</v>
      </c>
      <c r="F63" s="4">
        <v>95.45</v>
      </c>
      <c r="G63" s="5">
        <f t="shared" si="1"/>
        <v>254.2</v>
      </c>
      <c r="H63" s="6">
        <f t="shared" si="2"/>
        <v>0.4531517399</v>
      </c>
      <c r="I63" s="7">
        <f t="shared" si="3"/>
        <v>2.663174437</v>
      </c>
    </row>
    <row r="64" ht="15.75" customHeight="1">
      <c r="A64" s="2" t="s">
        <v>137</v>
      </c>
      <c r="B64" s="2" t="s">
        <v>138</v>
      </c>
      <c r="C64" s="3" t="s">
        <v>14</v>
      </c>
      <c r="D64" s="4">
        <v>335.45</v>
      </c>
      <c r="E64" s="4">
        <v>105.67</v>
      </c>
      <c r="F64" s="4">
        <v>73.86</v>
      </c>
      <c r="G64" s="5">
        <f t="shared" si="1"/>
        <v>155.92</v>
      </c>
      <c r="H64" s="6">
        <f t="shared" si="2"/>
        <v>0.4648084662</v>
      </c>
      <c r="I64" s="7">
        <f t="shared" si="3"/>
        <v>2.11102085</v>
      </c>
    </row>
    <row r="65" ht="15.75" customHeight="1">
      <c r="A65" s="2" t="s">
        <v>139</v>
      </c>
      <c r="B65" s="2" t="s">
        <v>140</v>
      </c>
      <c r="C65" s="3" t="s">
        <v>11</v>
      </c>
      <c r="D65" s="4">
        <v>508.11</v>
      </c>
      <c r="E65" s="4">
        <v>220.27</v>
      </c>
      <c r="F65" s="4">
        <v>78.15</v>
      </c>
      <c r="G65" s="5">
        <f t="shared" si="1"/>
        <v>209.69</v>
      </c>
      <c r="H65" s="6">
        <f t="shared" si="2"/>
        <v>0.4126862294</v>
      </c>
      <c r="I65" s="7">
        <f t="shared" si="3"/>
        <v>2.683173385</v>
      </c>
    </row>
    <row r="66" ht="15.75" customHeight="1">
      <c r="A66" s="2" t="s">
        <v>141</v>
      </c>
      <c r="B66" s="2" t="s">
        <v>142</v>
      </c>
      <c r="C66" s="3" t="s">
        <v>11</v>
      </c>
      <c r="D66" s="4">
        <v>319.01</v>
      </c>
      <c r="E66" s="4">
        <v>100.2</v>
      </c>
      <c r="F66" s="4">
        <v>56.73</v>
      </c>
      <c r="G66" s="5">
        <f t="shared" si="1"/>
        <v>162.08</v>
      </c>
      <c r="H66" s="6">
        <f t="shared" si="2"/>
        <v>0.5080718473</v>
      </c>
      <c r="I66" s="7">
        <f t="shared" si="3"/>
        <v>2.857042129</v>
      </c>
    </row>
    <row r="67" ht="15.75" customHeight="1">
      <c r="A67" s="2" t="s">
        <v>143</v>
      </c>
      <c r="B67" s="2" t="s">
        <v>144</v>
      </c>
      <c r="C67" s="3" t="s">
        <v>11</v>
      </c>
      <c r="D67" s="4">
        <v>166.17</v>
      </c>
      <c r="E67" s="4">
        <v>61.46</v>
      </c>
      <c r="F67" s="4">
        <v>28.96</v>
      </c>
      <c r="G67" s="5">
        <f t="shared" si="1"/>
        <v>75.75</v>
      </c>
      <c r="H67" s="6">
        <f t="shared" si="2"/>
        <v>0.4558584582</v>
      </c>
      <c r="I67" s="7">
        <f t="shared" si="3"/>
        <v>2.615676796</v>
      </c>
    </row>
    <row r="68" ht="15.75" customHeight="1">
      <c r="A68" s="2" t="s">
        <v>145</v>
      </c>
      <c r="B68" s="2" t="s">
        <v>146</v>
      </c>
      <c r="C68" s="3" t="s">
        <v>22</v>
      </c>
      <c r="D68" s="4">
        <v>1573.66</v>
      </c>
      <c r="E68" s="4">
        <v>1115.86</v>
      </c>
      <c r="F68" s="4">
        <v>129.25</v>
      </c>
      <c r="G68" s="5">
        <f t="shared" si="1"/>
        <v>328.55</v>
      </c>
      <c r="H68" s="6">
        <f t="shared" si="2"/>
        <v>0.208780804</v>
      </c>
      <c r="I68" s="7">
        <f t="shared" si="3"/>
        <v>2.541972921</v>
      </c>
    </row>
    <row r="69" ht="15.75" customHeight="1">
      <c r="A69" s="2" t="s">
        <v>147</v>
      </c>
      <c r="B69" s="2" t="s">
        <v>148</v>
      </c>
      <c r="C69" s="3" t="s">
        <v>14</v>
      </c>
      <c r="D69" s="4">
        <v>91.95</v>
      </c>
      <c r="E69" s="4">
        <v>30.55</v>
      </c>
      <c r="F69" s="4">
        <v>17.1</v>
      </c>
      <c r="G69" s="5">
        <f t="shared" si="1"/>
        <v>44.3</v>
      </c>
      <c r="H69" s="6">
        <f t="shared" si="2"/>
        <v>0.481783578</v>
      </c>
      <c r="I69" s="7">
        <f t="shared" si="3"/>
        <v>2.590643275</v>
      </c>
    </row>
    <row r="70" ht="15.75" customHeight="1">
      <c r="A70" s="2" t="s">
        <v>149</v>
      </c>
      <c r="B70" s="2" t="s">
        <v>150</v>
      </c>
      <c r="C70" s="3" t="s">
        <v>22</v>
      </c>
      <c r="D70" s="4">
        <v>1143.06</v>
      </c>
      <c r="E70" s="4">
        <v>802.68</v>
      </c>
      <c r="F70" s="4">
        <v>153.06</v>
      </c>
      <c r="G70" s="5">
        <f t="shared" si="1"/>
        <v>187.32</v>
      </c>
      <c r="H70" s="6">
        <f t="shared" si="2"/>
        <v>0.163875912</v>
      </c>
      <c r="I70" s="7">
        <f t="shared" si="3"/>
        <v>1.223833791</v>
      </c>
    </row>
    <row r="71" ht="15.75" customHeight="1">
      <c r="A71" s="2" t="s">
        <v>151</v>
      </c>
      <c r="B71" s="2" t="s">
        <v>152</v>
      </c>
      <c r="C71" s="3" t="s">
        <v>14</v>
      </c>
      <c r="D71" s="4">
        <v>149.06</v>
      </c>
      <c r="E71" s="4">
        <v>46.55</v>
      </c>
      <c r="F71" s="4">
        <v>23.63</v>
      </c>
      <c r="G71" s="5">
        <f t="shared" si="1"/>
        <v>78.88</v>
      </c>
      <c r="H71" s="6">
        <f t="shared" si="2"/>
        <v>0.5291828794</v>
      </c>
      <c r="I71" s="7">
        <f t="shared" si="3"/>
        <v>3.338129496</v>
      </c>
    </row>
    <row r="72" ht="15.75" customHeight="1">
      <c r="A72" s="2" t="s">
        <v>153</v>
      </c>
      <c r="B72" s="2" t="s">
        <v>154</v>
      </c>
      <c r="C72" s="3" t="s">
        <v>17</v>
      </c>
      <c r="D72" s="4">
        <v>362.02</v>
      </c>
      <c r="E72" s="4">
        <v>173.66</v>
      </c>
      <c r="F72" s="4">
        <v>51.86</v>
      </c>
      <c r="G72" s="5">
        <f t="shared" si="1"/>
        <v>136.5</v>
      </c>
      <c r="H72" s="6">
        <f t="shared" si="2"/>
        <v>0.3770509917</v>
      </c>
      <c r="I72" s="7">
        <f t="shared" si="3"/>
        <v>2.632086386</v>
      </c>
    </row>
    <row r="73" ht="15.75" customHeight="1">
      <c r="A73" s="2" t="s">
        <v>155</v>
      </c>
      <c r="B73" s="2" t="s">
        <v>156</v>
      </c>
      <c r="C73" s="3" t="s">
        <v>22</v>
      </c>
      <c r="D73" s="4">
        <v>2521.06</v>
      </c>
      <c r="E73" s="4">
        <v>1821.74</v>
      </c>
      <c r="F73" s="4">
        <v>373.9</v>
      </c>
      <c r="G73" s="5">
        <f t="shared" si="1"/>
        <v>325.42</v>
      </c>
      <c r="H73" s="6">
        <f t="shared" si="2"/>
        <v>0.1290806248</v>
      </c>
      <c r="I73" s="7">
        <f t="shared" si="3"/>
        <v>0.870339663</v>
      </c>
    </row>
    <row r="74" ht="15.75" customHeight="1">
      <c r="A74" s="2" t="s">
        <v>157</v>
      </c>
      <c r="B74" s="2" t="s">
        <v>158</v>
      </c>
      <c r="C74" s="3" t="s">
        <v>22</v>
      </c>
      <c r="D74" s="4">
        <v>2194.01</v>
      </c>
      <c r="E74" s="4">
        <v>1496.96</v>
      </c>
      <c r="F74" s="4">
        <v>297.65</v>
      </c>
      <c r="G74" s="5">
        <f t="shared" si="1"/>
        <v>399.4</v>
      </c>
      <c r="H74" s="6">
        <f t="shared" si="2"/>
        <v>0.1820411028</v>
      </c>
      <c r="I74" s="7">
        <f t="shared" si="3"/>
        <v>1.341844448</v>
      </c>
    </row>
    <row r="75" ht="15.75" customHeight="1">
      <c r="A75" s="2" t="s">
        <v>159</v>
      </c>
      <c r="B75" s="2" t="s">
        <v>160</v>
      </c>
      <c r="C75" s="3" t="s">
        <v>14</v>
      </c>
      <c r="D75" s="4">
        <v>166.67</v>
      </c>
      <c r="E75" s="4">
        <v>48.98</v>
      </c>
      <c r="F75" s="4">
        <v>26.31</v>
      </c>
      <c r="G75" s="5">
        <f t="shared" si="1"/>
        <v>91.38</v>
      </c>
      <c r="H75" s="6">
        <f t="shared" si="2"/>
        <v>0.5482690346</v>
      </c>
      <c r="I75" s="7">
        <f t="shared" si="3"/>
        <v>3.473204105</v>
      </c>
    </row>
    <row r="76" ht="15.75" customHeight="1">
      <c r="A76" s="2" t="s">
        <v>161</v>
      </c>
      <c r="B76" s="2" t="s">
        <v>162</v>
      </c>
      <c r="C76" s="3" t="s">
        <v>17</v>
      </c>
      <c r="D76" s="4">
        <v>330.42</v>
      </c>
      <c r="E76" s="4">
        <v>179.88</v>
      </c>
      <c r="F76" s="4">
        <v>55.14</v>
      </c>
      <c r="G76" s="5">
        <f t="shared" si="1"/>
        <v>95.4</v>
      </c>
      <c r="H76" s="6">
        <f t="shared" si="2"/>
        <v>0.2887234429</v>
      </c>
      <c r="I76" s="7">
        <f t="shared" si="3"/>
        <v>1.730141458</v>
      </c>
    </row>
    <row r="77" ht="15.75" customHeight="1">
      <c r="A77" s="2" t="s">
        <v>163</v>
      </c>
      <c r="B77" s="2" t="s">
        <v>164</v>
      </c>
      <c r="C77" s="3" t="s">
        <v>17</v>
      </c>
      <c r="D77" s="4">
        <v>1135.17</v>
      </c>
      <c r="E77" s="4">
        <v>523.7</v>
      </c>
      <c r="F77" s="4">
        <v>129.25</v>
      </c>
      <c r="G77" s="5">
        <f t="shared" si="1"/>
        <v>482.22</v>
      </c>
      <c r="H77" s="6">
        <f t="shared" si="2"/>
        <v>0.4247998097</v>
      </c>
      <c r="I77" s="7">
        <f t="shared" si="3"/>
        <v>3.730909091</v>
      </c>
    </row>
    <row r="78" ht="15.75" customHeight="1">
      <c r="A78" s="2" t="s">
        <v>165</v>
      </c>
      <c r="B78" s="2" t="s">
        <v>166</v>
      </c>
      <c r="C78" s="3" t="s">
        <v>17</v>
      </c>
      <c r="D78" s="4">
        <v>487.72</v>
      </c>
      <c r="E78" s="4">
        <v>213.4</v>
      </c>
      <c r="F78" s="4">
        <v>70.2</v>
      </c>
      <c r="G78" s="5">
        <f t="shared" si="1"/>
        <v>204.12</v>
      </c>
      <c r="H78" s="6">
        <f t="shared" si="2"/>
        <v>0.4185188223</v>
      </c>
      <c r="I78" s="7">
        <f t="shared" si="3"/>
        <v>2.907692308</v>
      </c>
    </row>
    <row r="79" ht="15.75" customHeight="1">
      <c r="A79" s="2" t="s">
        <v>167</v>
      </c>
      <c r="B79" s="2" t="s">
        <v>168</v>
      </c>
      <c r="C79" s="3" t="s">
        <v>22</v>
      </c>
      <c r="D79" s="4">
        <v>2729.41</v>
      </c>
      <c r="E79" s="4">
        <v>1954.31</v>
      </c>
      <c r="F79" s="4">
        <v>271.84</v>
      </c>
      <c r="G79" s="5">
        <f t="shared" si="1"/>
        <v>503.26</v>
      </c>
      <c r="H79" s="6">
        <f t="shared" si="2"/>
        <v>0.1843841709</v>
      </c>
      <c r="I79" s="7">
        <f t="shared" si="3"/>
        <v>1.851309594</v>
      </c>
    </row>
    <row r="80" ht="15.75" customHeight="1">
      <c r="A80" s="2" t="s">
        <v>169</v>
      </c>
      <c r="B80" s="2" t="s">
        <v>170</v>
      </c>
      <c r="C80" s="3" t="s">
        <v>11</v>
      </c>
      <c r="D80" s="4">
        <v>579.69</v>
      </c>
      <c r="E80" s="4">
        <v>238.07</v>
      </c>
      <c r="F80" s="4">
        <v>101.7</v>
      </c>
      <c r="G80" s="5">
        <f t="shared" si="1"/>
        <v>239.92</v>
      </c>
      <c r="H80" s="6">
        <f t="shared" si="2"/>
        <v>0.4138763822</v>
      </c>
      <c r="I80" s="7">
        <f t="shared" si="3"/>
        <v>2.359095379</v>
      </c>
    </row>
    <row r="81" ht="15.75" customHeight="1">
      <c r="A81" s="2" t="s">
        <v>171</v>
      </c>
      <c r="B81" s="2" t="s">
        <v>172</v>
      </c>
      <c r="C81" s="3" t="s">
        <v>22</v>
      </c>
      <c r="D81" s="4">
        <v>2451.65</v>
      </c>
      <c r="E81" s="4">
        <v>1696.44</v>
      </c>
      <c r="F81" s="4">
        <v>238.65</v>
      </c>
      <c r="G81" s="5">
        <f t="shared" si="1"/>
        <v>516.56</v>
      </c>
      <c r="H81" s="6">
        <f t="shared" si="2"/>
        <v>0.2106989171</v>
      </c>
      <c r="I81" s="7">
        <f t="shared" si="3"/>
        <v>2.164508695</v>
      </c>
    </row>
    <row r="82" ht="15.75" customHeight="1">
      <c r="A82" s="2" t="s">
        <v>173</v>
      </c>
      <c r="B82" s="2" t="s">
        <v>174</v>
      </c>
      <c r="C82" s="3" t="s">
        <v>14</v>
      </c>
      <c r="D82" s="4">
        <v>193.91</v>
      </c>
      <c r="E82" s="4">
        <v>63.17</v>
      </c>
      <c r="F82" s="4">
        <v>29.37</v>
      </c>
      <c r="G82" s="5">
        <f t="shared" si="1"/>
        <v>101.37</v>
      </c>
      <c r="H82" s="6">
        <f t="shared" si="2"/>
        <v>0.5227682946</v>
      </c>
      <c r="I82" s="7">
        <f t="shared" si="3"/>
        <v>3.451481103</v>
      </c>
    </row>
    <row r="83" ht="15.75" customHeight="1">
      <c r="A83" s="2" t="s">
        <v>175</v>
      </c>
      <c r="B83" s="2" t="s">
        <v>176</v>
      </c>
      <c r="C83" s="3" t="s">
        <v>17</v>
      </c>
      <c r="D83" s="4">
        <v>439.29</v>
      </c>
      <c r="E83" s="4">
        <v>178.75</v>
      </c>
      <c r="F83" s="4">
        <v>45.36</v>
      </c>
      <c r="G83" s="5">
        <f t="shared" si="1"/>
        <v>215.18</v>
      </c>
      <c r="H83" s="6">
        <f t="shared" si="2"/>
        <v>0.4898358715</v>
      </c>
      <c r="I83" s="7">
        <f t="shared" si="3"/>
        <v>4.74382716</v>
      </c>
    </row>
    <row r="84" ht="15.75" customHeight="1">
      <c r="A84" s="2" t="s">
        <v>177</v>
      </c>
      <c r="B84" s="2" t="s">
        <v>178</v>
      </c>
      <c r="C84" s="3" t="s">
        <v>11</v>
      </c>
      <c r="D84" s="4">
        <v>534.96</v>
      </c>
      <c r="E84" s="4">
        <v>216.95</v>
      </c>
      <c r="F84" s="4">
        <v>89.56</v>
      </c>
      <c r="G84" s="5">
        <f t="shared" si="1"/>
        <v>228.45</v>
      </c>
      <c r="H84" s="6">
        <f t="shared" si="2"/>
        <v>0.4270412741</v>
      </c>
      <c r="I84" s="7">
        <f t="shared" si="3"/>
        <v>2.55080393</v>
      </c>
    </row>
    <row r="85" ht="15.75" customHeight="1">
      <c r="A85" s="2" t="s">
        <v>179</v>
      </c>
      <c r="B85" s="2" t="s">
        <v>180</v>
      </c>
      <c r="C85" s="3" t="s">
        <v>22</v>
      </c>
      <c r="D85" s="4">
        <v>1064.15</v>
      </c>
      <c r="E85" s="4">
        <v>744.01</v>
      </c>
      <c r="F85" s="4">
        <v>120.4</v>
      </c>
      <c r="G85" s="5">
        <f t="shared" si="1"/>
        <v>199.74</v>
      </c>
      <c r="H85" s="6">
        <f t="shared" si="2"/>
        <v>0.1876991026</v>
      </c>
      <c r="I85" s="7">
        <f t="shared" si="3"/>
        <v>1.6589701</v>
      </c>
    </row>
    <row r="86" ht="15.75" customHeight="1">
      <c r="A86" s="2" t="s">
        <v>181</v>
      </c>
      <c r="B86" s="2" t="s">
        <v>182</v>
      </c>
      <c r="C86" s="3" t="s">
        <v>11</v>
      </c>
      <c r="D86" s="4">
        <v>227.94</v>
      </c>
      <c r="E86" s="4">
        <v>83.22</v>
      </c>
      <c r="F86" s="4">
        <v>36.44</v>
      </c>
      <c r="G86" s="5">
        <f t="shared" si="1"/>
        <v>108.28</v>
      </c>
      <c r="H86" s="6">
        <f t="shared" si="2"/>
        <v>0.4750372905</v>
      </c>
      <c r="I86" s="7">
        <f t="shared" si="3"/>
        <v>2.971459934</v>
      </c>
    </row>
    <row r="87" ht="15.75" customHeight="1">
      <c r="A87" s="2" t="s">
        <v>183</v>
      </c>
      <c r="B87" s="2" t="s">
        <v>184</v>
      </c>
      <c r="C87" s="3" t="s">
        <v>11</v>
      </c>
      <c r="D87" s="4">
        <v>427.13</v>
      </c>
      <c r="E87" s="4">
        <v>168.83</v>
      </c>
      <c r="F87" s="4">
        <v>53.19</v>
      </c>
      <c r="G87" s="5">
        <f t="shared" si="1"/>
        <v>205.11</v>
      </c>
      <c r="H87" s="6">
        <f t="shared" si="2"/>
        <v>0.4802050898</v>
      </c>
      <c r="I87" s="7">
        <f t="shared" si="3"/>
        <v>3.856175973</v>
      </c>
    </row>
    <row r="88" ht="15.75" customHeight="1">
      <c r="A88" s="2" t="s">
        <v>185</v>
      </c>
      <c r="B88" s="2" t="s">
        <v>186</v>
      </c>
      <c r="C88" s="3" t="s">
        <v>17</v>
      </c>
      <c r="D88" s="4">
        <v>749.54</v>
      </c>
      <c r="E88" s="4">
        <v>370.18</v>
      </c>
      <c r="F88" s="4">
        <v>105.12</v>
      </c>
      <c r="G88" s="5">
        <f t="shared" si="1"/>
        <v>274.24</v>
      </c>
      <c r="H88" s="6">
        <f t="shared" si="2"/>
        <v>0.3658777383</v>
      </c>
      <c r="I88" s="7">
        <f t="shared" si="3"/>
        <v>2.608828006</v>
      </c>
    </row>
    <row r="89" ht="15.75" customHeight="1">
      <c r="A89" s="2" t="s">
        <v>187</v>
      </c>
      <c r="B89" s="2" t="s">
        <v>188</v>
      </c>
      <c r="C89" s="3" t="s">
        <v>17</v>
      </c>
      <c r="D89" s="4">
        <v>1327.79</v>
      </c>
      <c r="E89" s="4">
        <v>662.31</v>
      </c>
      <c r="F89" s="4">
        <v>150.09</v>
      </c>
      <c r="G89" s="5">
        <f t="shared" si="1"/>
        <v>515.39</v>
      </c>
      <c r="H89" s="6">
        <f t="shared" si="2"/>
        <v>0.3881562596</v>
      </c>
      <c r="I89" s="7">
        <f t="shared" si="3"/>
        <v>3.43387301</v>
      </c>
    </row>
    <row r="90" ht="15.75" customHeight="1">
      <c r="A90" s="2" t="s">
        <v>189</v>
      </c>
      <c r="B90" s="2" t="s">
        <v>190</v>
      </c>
      <c r="C90" s="3" t="s">
        <v>14</v>
      </c>
      <c r="D90" s="4">
        <v>102.58</v>
      </c>
      <c r="E90" s="4">
        <v>32.23</v>
      </c>
      <c r="F90" s="4">
        <v>15.66</v>
      </c>
      <c r="G90" s="5">
        <f t="shared" si="1"/>
        <v>54.69</v>
      </c>
      <c r="H90" s="6">
        <f t="shared" si="2"/>
        <v>0.5331448625</v>
      </c>
      <c r="I90" s="7">
        <f t="shared" si="3"/>
        <v>3.492337165</v>
      </c>
    </row>
    <row r="91" ht="15.75" customHeight="1">
      <c r="A91" s="2" t="s">
        <v>191</v>
      </c>
      <c r="B91" s="2" t="s">
        <v>192</v>
      </c>
      <c r="C91" s="3" t="s">
        <v>11</v>
      </c>
      <c r="D91" s="4">
        <v>413.6</v>
      </c>
      <c r="E91" s="4">
        <v>182.41</v>
      </c>
      <c r="F91" s="4">
        <v>73.43</v>
      </c>
      <c r="G91" s="5">
        <f t="shared" si="1"/>
        <v>157.76</v>
      </c>
      <c r="H91" s="6">
        <f t="shared" si="2"/>
        <v>0.3814313346</v>
      </c>
      <c r="I91" s="7">
        <f t="shared" si="3"/>
        <v>2.148440692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0.1" defaultRowHeight="15.0"/>
  <cols>
    <col customWidth="1" min="1" max="1" width="8.4"/>
    <col customWidth="1" min="2" max="2" width="15.4"/>
    <col customWidth="1" min="3" max="3" width="12.3"/>
    <col customWidth="1" min="4" max="4" width="12.4"/>
    <col customWidth="1" min="5" max="5" width="12.9"/>
    <col customWidth="1" min="6" max="6" width="11.2"/>
    <col customWidth="1" min="7" max="7" width="8.4"/>
    <col customWidth="1" min="8" max="8" width="15.4"/>
    <col customWidth="1" min="9" max="10" width="8.4"/>
    <col customWidth="1" min="11" max="11" width="15.4"/>
    <col customWidth="1" min="12" max="26" width="6.1"/>
  </cols>
  <sheetData>
    <row r="1">
      <c r="A1" s="9"/>
      <c r="B1" s="10" t="s">
        <v>193</v>
      </c>
      <c r="G1" s="9"/>
      <c r="H1" s="9"/>
      <c r="I1" s="9"/>
      <c r="J1" s="9"/>
      <c r="K1" s="9"/>
      <c r="L1" s="9"/>
      <c r="M1" s="9"/>
      <c r="N1" s="9"/>
    </row>
    <row r="2">
      <c r="A2" s="9"/>
      <c r="B2" s="11" t="s">
        <v>194</v>
      </c>
      <c r="C2" s="9"/>
      <c r="D2" s="9"/>
      <c r="E2" s="11" t="s">
        <v>195</v>
      </c>
      <c r="F2" s="9"/>
      <c r="G2" s="9"/>
      <c r="H2" s="11" t="s">
        <v>196</v>
      </c>
      <c r="I2" s="9"/>
      <c r="J2" s="9"/>
      <c r="K2" s="11" t="s">
        <v>197</v>
      </c>
      <c r="L2" s="9"/>
      <c r="M2" s="9"/>
      <c r="N2" s="9"/>
    </row>
    <row r="3">
      <c r="A3" s="9"/>
      <c r="B3" s="12">
        <f>SUM(Base_Vendas!D:D)</f>
        <v>80786.67</v>
      </c>
      <c r="C3" s="9"/>
      <c r="D3" s="9"/>
      <c r="E3" s="13">
        <f>COUNTA(Base_Vendas!A:A)-1</f>
        <v>90</v>
      </c>
      <c r="F3" s="9"/>
      <c r="G3" s="9"/>
      <c r="H3" s="12">
        <f>AVERAGE(Base_Vendas!D:D)</f>
        <v>897.6296667</v>
      </c>
      <c r="I3" s="9"/>
      <c r="J3" s="9"/>
      <c r="K3" s="12">
        <f>SUM(Base_Vendas!G:G)</f>
        <v>21899.66</v>
      </c>
      <c r="L3" s="9"/>
      <c r="M3" s="9"/>
      <c r="N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>
      <c r="A7" s="9"/>
      <c r="B7" s="14" t="s">
        <v>198</v>
      </c>
      <c r="E7" s="9"/>
      <c r="F7" s="9"/>
      <c r="G7" s="9"/>
      <c r="H7" s="9"/>
      <c r="I7" s="9"/>
      <c r="J7" s="9"/>
      <c r="K7" s="9"/>
      <c r="L7" s="9"/>
      <c r="M7" s="9"/>
      <c r="N7" s="9"/>
    </row>
    <row r="8">
      <c r="A8" s="9"/>
      <c r="B8" s="15" t="s">
        <v>2</v>
      </c>
      <c r="C8" s="15" t="s">
        <v>199</v>
      </c>
      <c r="D8" s="16" t="s">
        <v>200</v>
      </c>
      <c r="E8" s="16" t="s">
        <v>201</v>
      </c>
      <c r="F8" s="16" t="s">
        <v>202</v>
      </c>
      <c r="G8" s="9"/>
      <c r="H8" s="9"/>
      <c r="I8" s="9"/>
      <c r="J8" s="9"/>
      <c r="K8" s="9"/>
      <c r="L8" s="9"/>
      <c r="M8" s="9"/>
      <c r="N8" s="9"/>
    </row>
    <row r="9">
      <c r="A9" s="9"/>
      <c r="B9" s="17" t="s">
        <v>22</v>
      </c>
      <c r="C9" s="18">
        <f>SUMIFS(Base_Vendas!D:D, Base_Vendas!C:C, "Eletrônicos")</f>
        <v>52057.35</v>
      </c>
      <c r="D9" s="18">
        <f>SUMIFS(Base_Vendas!G:G, Base_Vendas!C:C, "Eletrônicos")</f>
        <v>9378.96</v>
      </c>
      <c r="E9" s="19">
        <f t="shared" ref="E9:E12" si="1">IFERROR(D9/C9, 0)</f>
        <v>0.1801659132</v>
      </c>
      <c r="F9" s="20">
        <f>AVERAGEIFS(Base_Vendas!I:I, Base_Vendas!C:C, "Eletrônicos")</f>
        <v>1.584386777</v>
      </c>
      <c r="G9" s="9"/>
      <c r="H9" s="9"/>
      <c r="I9" s="9"/>
      <c r="J9" s="9"/>
      <c r="K9" s="9"/>
      <c r="L9" s="9"/>
      <c r="M9" s="9"/>
      <c r="N9" s="9"/>
    </row>
    <row r="10">
      <c r="A10" s="9"/>
      <c r="B10" s="17" t="s">
        <v>11</v>
      </c>
      <c r="C10" s="18">
        <f>SUMIFS(Base_Vendas!D:D, Base_Vendas!C:C, "Vestuário")</f>
        <v>11453.95</v>
      </c>
      <c r="D10" s="18">
        <f>SUMIFS(Base_Vendas!G:G, Base_Vendas!C:C, "Vestuário")</f>
        <v>5199.7</v>
      </c>
      <c r="E10" s="19">
        <f t="shared" si="1"/>
        <v>0.4539656625</v>
      </c>
      <c r="F10" s="20">
        <f>AVERAGEIFS(Base_Vendas!I:I, Base_Vendas!C:C, "Vestuário")</f>
        <v>2.849001169</v>
      </c>
      <c r="G10" s="9"/>
      <c r="H10" s="9"/>
      <c r="I10" s="9"/>
      <c r="J10" s="9"/>
      <c r="K10" s="9"/>
      <c r="L10" s="9"/>
      <c r="M10" s="9"/>
      <c r="N10" s="9"/>
    </row>
    <row r="11">
      <c r="A11" s="9"/>
      <c r="B11" s="17" t="s">
        <v>17</v>
      </c>
      <c r="C11" s="18">
        <f>SUMIFS(Base_Vendas!D:D, Base_Vendas!C:C, "Casa &amp; Decoração")</f>
        <v>13109.44</v>
      </c>
      <c r="D11" s="18">
        <f>SUMIFS(Base_Vendas!G:G, Base_Vendas!C:C, "Casa &amp; Decoração")</f>
        <v>5316.39</v>
      </c>
      <c r="E11" s="19">
        <f t="shared" si="1"/>
        <v>0.4055390619</v>
      </c>
      <c r="F11" s="20">
        <f>AVERAGEIFS(Base_Vendas!I:I, Base_Vendas!C:C, "Casa &amp; Decoração")</f>
        <v>3.111317989</v>
      </c>
      <c r="G11" s="9"/>
      <c r="H11" s="9"/>
      <c r="I11" s="9"/>
      <c r="J11" s="9"/>
      <c r="K11" s="9"/>
      <c r="L11" s="9"/>
      <c r="M11" s="9"/>
      <c r="N11" s="9"/>
    </row>
    <row r="12">
      <c r="A12" s="9"/>
      <c r="B12" s="17" t="s">
        <v>14</v>
      </c>
      <c r="C12" s="18">
        <f>SUMIFS(Base_Vendas!D:D, Base_Vendas!C:C, "Beleza")</f>
        <v>4165.93</v>
      </c>
      <c r="D12" s="18">
        <f>SUMIFS(Base_Vendas!G:G, Base_Vendas!C:C, "Beleza")</f>
        <v>2004.61</v>
      </c>
      <c r="E12" s="19">
        <f t="shared" si="1"/>
        <v>0.4811914747</v>
      </c>
      <c r="F12" s="20">
        <f>AVERAGEIFS(Base_Vendas!I:I, Base_Vendas!C:C, "Beleza")</f>
        <v>2.555047343</v>
      </c>
      <c r="G12" s="9"/>
      <c r="H12" s="9"/>
      <c r="I12" s="9"/>
      <c r="J12" s="9"/>
      <c r="K12" s="9"/>
      <c r="L12" s="9"/>
      <c r="M12" s="9"/>
      <c r="N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7:D7"/>
    <mergeCell ref="B1:F1"/>
  </mergeCells>
  <printOptions/>
  <pageMargins bottom="1.0" footer="0.0" header="0.0" left="0.75" right="0.75" top="1.0"/>
  <pageSetup orientation="landscape"/>
  <drawing r:id="rId1"/>
</worksheet>
</file>